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y Category" sheetId="2" state="visible" r:id="rId4"/>
    <sheet name="Sample Rows" sheetId="3" state="visible" r:id="rId5"/>
    <sheet name="Data 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<sst xmlns="http://schemas.openxmlformats.org/spreadsheetml/2006/main" count="942" uniqueCount="563">
  <si>
    <t xml:space="preserve">Smart Savor — Grocery × USDA Nutrition Reference (QA Summary)</t>
  </si>
  <si>
    <t xml:space="preserve">Sources</t>
  </si>
  <si>
    <t xml:space="preserve">Walmart price snapshot</t>
  </si>
  <si>
    <t xml:space="preserve">Kaggle Grocery_Dataset.csv, Sept 2022, 26 store ZIPs, 568,534 rows -&gt; 11,059 unique products -&gt; 8,986 after quality curation (high/medium confidence, sized packages)</t>
  </si>
  <si>
    <t xml:space="preserve">USDA Foundation Foods</t>
  </si>
  <si>
    <t xml:space="preserve">FoodData Central release 2026-04-30 (analytical data)</t>
  </si>
  <si>
    <t xml:space="preserve">USDA SR Legacy</t>
  </si>
  <si>
    <t xml:space="preserve">FoodData Central release 2018-04 (generic foods)</t>
  </si>
  <si>
    <t xml:space="preserve">USDA Branded Foods</t>
  </si>
  <si>
    <t xml:space="preserve">FoodData Central release 2026-04-30 (label data, brand-verified matches)</t>
  </si>
  <si>
    <t xml:space="preserve">Nutrient basis</t>
  </si>
  <si>
    <t xml:space="preserve">All nutrient values are per 100 g (or 100 ml for liquids), per FDC convention</t>
  </si>
  <si>
    <t xml:space="preserve">Imputation policy</t>
  </si>
  <si>
    <t xml:space="preserve">Per EPIC 2.4: prices &amp; nutrients always real. Synthetic values (assumed pack sizes, RACC servings, generic micro backfill) are named in data_flags.</t>
  </si>
  <si>
    <t xml:space="preserve">Citation</t>
  </si>
  <si>
    <t xml:space="preserve">U.S. Department of Agriculture, Agricultural Research Service. FoodData Central. fdc.nal.usda.gov</t>
  </si>
  <si>
    <t xml:space="preserve">Key Metrics</t>
  </si>
  <si>
    <t xml:space="preserve">Products (rows)</t>
  </si>
  <si>
    <t xml:space="preserve">Columns</t>
  </si>
  <si>
    <t xml:space="preserve">Via USDA Branded (label-exact)</t>
  </si>
  <si>
    <t xml:space="preserve">Via SR Legacy / Foundation (generic)</t>
  </si>
  <si>
    <t xml:space="preserve">Real label serving sizes</t>
  </si>
  <si>
    <t xml:space="preserve">RACC standard servings (flagged)</t>
  </si>
  <si>
    <t xml:space="preserve">Micros backfilled from generic (flagged)</t>
  </si>
  <si>
    <t xml:space="preserve">Assumed package size (flagged)</t>
  </si>
  <si>
    <t xml:space="preserve">Suspect label values (flagged)</t>
  </si>
  <si>
    <t xml:space="preserve">added_sugars_g populated</t>
  </si>
  <si>
    <t xml:space="preserve">Price-per-100g computed</t>
  </si>
  <si>
    <t xml:space="preserve">Department</t>
  </si>
  <si>
    <t xml:space="preserve">Category</t>
  </si>
  <si>
    <t xml:space="preserve">Products</t>
  </si>
  <si>
    <t xml:space="preserve">Avg Price ($)</t>
  </si>
  <si>
    <t xml:space="preserve">Bakery &amp; Bread</t>
  </si>
  <si>
    <t xml:space="preserve">Sliced Bread</t>
  </si>
  <si>
    <t xml:space="preserve">Tortillas</t>
  </si>
  <si>
    <t xml:space="preserve">Breakfast &amp; Cereal</t>
  </si>
  <si>
    <t xml:space="preserve">Cereal &amp; Granola</t>
  </si>
  <si>
    <t xml:space="preserve">Dairy &amp; Eggs</t>
  </si>
  <si>
    <t xml:space="preserve">Hot Cereals</t>
  </si>
  <si>
    <t xml:space="preserve">Butter &amp; Margarine</t>
  </si>
  <si>
    <t xml:space="preserve">Cheese</t>
  </si>
  <si>
    <t xml:space="preserve">Cream &amp; Creamers</t>
  </si>
  <si>
    <t xml:space="preserve">Eggs</t>
  </si>
  <si>
    <t xml:space="preserve">Milk</t>
  </si>
  <si>
    <t xml:space="preserve">Sour Cream &amp; Chilled Dips</t>
  </si>
  <si>
    <t xml:space="preserve">Yogurt</t>
  </si>
  <si>
    <t xml:space="preserve">Deli</t>
  </si>
  <si>
    <t xml:space="preserve">Fresh Soups &amp; Salads</t>
  </si>
  <si>
    <t xml:space="preserve">Rotisserie Chicken</t>
  </si>
  <si>
    <t xml:space="preserve">Fresh Produce</t>
  </si>
  <si>
    <t xml:space="preserve">Cut Fruits &amp; Vegetables</t>
  </si>
  <si>
    <t xml:space="preserve">Fresh Fruits</t>
  </si>
  <si>
    <t xml:space="preserve">Fresh Herbs</t>
  </si>
  <si>
    <t xml:space="preserve">Fresh Vegetables</t>
  </si>
  <si>
    <t xml:space="preserve">Organic Produce</t>
  </si>
  <si>
    <t xml:space="preserve">Plant-based Protein &amp; Tofu</t>
  </si>
  <si>
    <t xml:space="preserve">Salad Kits &amp; Bowls</t>
  </si>
  <si>
    <t xml:space="preserve">Salsa &amp; Dips</t>
  </si>
  <si>
    <t xml:space="preserve">Frozen</t>
  </si>
  <si>
    <t xml:space="preserve">Frozen Meat &amp; Seafood</t>
  </si>
  <si>
    <t xml:space="preserve">Frozen Produce</t>
  </si>
  <si>
    <t xml:space="preserve">Meat &amp; Seafood</t>
  </si>
  <si>
    <t xml:space="preserve">Fresh Food</t>
  </si>
  <si>
    <t xml:space="preserve">Game Time Faves</t>
  </si>
  <si>
    <t xml:space="preserve">Grilling</t>
  </si>
  <si>
    <t xml:space="preserve">Pantry</t>
  </si>
  <si>
    <t xml:space="preserve">Canned goods</t>
  </si>
  <si>
    <t xml:space="preserve">Canned vegetables</t>
  </si>
  <si>
    <t xml:space="preserve">Cooking oils &amp; vinegars</t>
  </si>
  <si>
    <t xml:space="preserve">Pasta &amp; pizza</t>
  </si>
  <si>
    <t xml:space="preserve">Rice, grains &amp; dried beans</t>
  </si>
  <si>
    <t xml:space="preserve">Soup</t>
  </si>
  <si>
    <t xml:space="preserve">department</t>
  </si>
  <si>
    <t xml:space="preserve">category</t>
  </si>
  <si>
    <t xml:space="preserve">product_name</t>
  </si>
  <si>
    <t xml:space="preserve">price_usd</t>
  </si>
  <si>
    <t xml:space="preserve">package_size</t>
  </si>
  <si>
    <t xml:space="preserve">price_per_100g_usd</t>
  </si>
  <si>
    <t xml:space="preserve">fdc_id</t>
  </si>
  <si>
    <t xml:space="preserve">usda_description</t>
  </si>
  <si>
    <t xml:space="preserve">usda_source</t>
  </si>
  <si>
    <t xml:space="preserve">serving_size_g</t>
  </si>
  <si>
    <t xml:space="preserve">household_serving</t>
  </si>
  <si>
    <t xml:space="preserve">calories_kcal</t>
  </si>
  <si>
    <t xml:space="preserve">protein_g</t>
  </si>
  <si>
    <t xml:space="preserve">fiber_g</t>
  </si>
  <si>
    <t xml:space="preserve">added_sugars_g</t>
  </si>
  <si>
    <t xml:space="preserve">sodium_mg</t>
  </si>
  <si>
    <t xml:space="preserve">potassium_mg</t>
  </si>
  <si>
    <t xml:space="preserve">magnesium_mg</t>
  </si>
  <si>
    <t xml:space="preserve">iron_mg</t>
  </si>
  <si>
    <t xml:space="preserve">vitamin_c_mg</t>
  </si>
  <si>
    <t xml:space="preserve">data_flags</t>
  </si>
  <si>
    <t xml:space="preserve">Arnold Country Style White Bread Loaf, 24 oz</t>
  </si>
  <si>
    <t xml:space="preserve">3.78</t>
  </si>
  <si>
    <t xml:space="preserve">24.0 oz</t>
  </si>
  <si>
    <t xml:space="preserve">0.5556</t>
  </si>
  <si>
    <t xml:space="preserve">471055</t>
  </si>
  <si>
    <t xml:space="preserve">COUNTRY WHITE BREAD</t>
  </si>
  <si>
    <t xml:space="preserve">USDA Branded</t>
  </si>
  <si>
    <t xml:space="preserve">43.0</t>
  </si>
  <si>
    <t xml:space="preserve">1 SLICE</t>
  </si>
  <si>
    <t xml:space="preserve">256.0</t>
  </si>
  <si>
    <t xml:space="preserve">9.3</t>
  </si>
  <si>
    <t xml:space="preserve">4.7</t>
  </si>
  <si>
    <t xml:space="preserve">488.0</t>
  </si>
  <si>
    <t xml:space="preserve">140.0</t>
  </si>
  <si>
    <t xml:space="preserve">26.0</t>
  </si>
  <si>
    <t xml:space="preserve">2.51</t>
  </si>
  <si>
    <t xml:space="preserve">0.0</t>
  </si>
  <si>
    <t xml:space="preserve">backfilled_micros(magnesium_mg,zinc_mg,vitamin_a_rae_ug,vitamin_b12_ug,folate_dfe_ug,vitamin_d_iu)</t>
  </si>
  <si>
    <t xml:space="preserve">Arnold Jewish Rye Bread, Seeded, 16 oz</t>
  </si>
  <si>
    <t xml:space="preserve">3.83</t>
  </si>
  <si>
    <t xml:space="preserve">16.0 oz</t>
  </si>
  <si>
    <t xml:space="preserve">0.8444</t>
  </si>
  <si>
    <t xml:space="preserve">604965</t>
  </si>
  <si>
    <t xml:space="preserve">SEEDED JEWISH RYE BREAD, JEWISH RYE</t>
  </si>
  <si>
    <t xml:space="preserve">30.0</t>
  </si>
  <si>
    <t xml:space="preserve">267.0</t>
  </si>
  <si>
    <t xml:space="preserve">6.67</t>
  </si>
  <si>
    <t xml:space="preserve">3.3</t>
  </si>
  <si>
    <t xml:space="preserve">667.0</t>
  </si>
  <si>
    <t xml:space="preserve">133.0</t>
  </si>
  <si>
    <t xml:space="preserve">40.0</t>
  </si>
  <si>
    <t xml:space="preserve">2.67</t>
  </si>
  <si>
    <t xml:space="preserve">0.4</t>
  </si>
  <si>
    <t xml:space="preserve">backfilled_micros(magnesium_mg,vitamin_c_mg,zinc_mg,vitamin_a_rae_ug,vitamin_b12_ug,folate_dfe_ug)</t>
  </si>
  <si>
    <t xml:space="preserve">Arnold Jewish Rye Bread, Seedless, 16 oz</t>
  </si>
  <si>
    <t xml:space="preserve">172684</t>
  </si>
  <si>
    <t xml:space="preserve">Bread, rye</t>
  </si>
  <si>
    <t xml:space="preserve">28</t>
  </si>
  <si>
    <t xml:space="preserve">1 slice</t>
  </si>
  <si>
    <t xml:space="preserve">259.0</t>
  </si>
  <si>
    <t xml:space="preserve">8.5</t>
  </si>
  <si>
    <t xml:space="preserve">5.8</t>
  </si>
  <si>
    <t xml:space="preserve">603.0</t>
  </si>
  <si>
    <t xml:space="preserve">166.0</t>
  </si>
  <si>
    <t xml:space="preserve">2.83</t>
  </si>
  <si>
    <t xml:space="preserve">racc_serving</t>
  </si>
  <si>
    <t xml:space="preserve">Arnold Jewish Rye Pumpernickel Bread, 16 oz</t>
  </si>
  <si>
    <t xml:space="preserve">2460292</t>
  </si>
  <si>
    <t xml:space="preserve">PUMPERNICKEL JEWISH RYE BREAD, PUMPERNICKEL</t>
  </si>
  <si>
    <t xml:space="preserve">54.0</t>
  </si>
  <si>
    <t xml:space="preserve">Arnold Organic 100% Whole Grain Bread, 27 oz</t>
  </si>
  <si>
    <t xml:space="preserve">5.34</t>
  </si>
  <si>
    <t xml:space="preserve">27.0 oz</t>
  </si>
  <si>
    <t xml:space="preserve">0.6976</t>
  </si>
  <si>
    <t xml:space="preserve">572290</t>
  </si>
  <si>
    <t xml:space="preserve">ORGANIC 100% WHOLE GRAIN BREAD</t>
  </si>
  <si>
    <t xml:space="preserve">48.0</t>
  </si>
  <si>
    <t xml:space="preserve">292.0</t>
  </si>
  <si>
    <t xml:space="preserve">12.5</t>
  </si>
  <si>
    <t xml:space="preserve">8.3</t>
  </si>
  <si>
    <t xml:space="preserve">458.0</t>
  </si>
  <si>
    <t xml:space="preserve">250.0</t>
  </si>
  <si>
    <t xml:space="preserve">78.0</t>
  </si>
  <si>
    <t xml:space="preserve">2.08</t>
  </si>
  <si>
    <t xml:space="preserve">0.1</t>
  </si>
  <si>
    <t xml:space="preserve">Bear Naked Granola Bites, Chocolate Chip, 6.2 Oz, Pouch</t>
  </si>
  <si>
    <t xml:space="preserve">4.24</t>
  </si>
  <si>
    <t xml:space="preserve">6.2 oz</t>
  </si>
  <si>
    <t xml:space="preserve">2.4123</t>
  </si>
  <si>
    <t xml:space="preserve">670676</t>
  </si>
  <si>
    <t xml:space="preserve">CHOCOLATE CHIP GRANOLA BITES, CHOCOLATE CHIP</t>
  </si>
  <si>
    <t xml:space="preserve">32.0</t>
  </si>
  <si>
    <t xml:space="preserve">8 PIECES</t>
  </si>
  <si>
    <t xml:space="preserve">438.0</t>
  </si>
  <si>
    <t xml:space="preserve">6.25</t>
  </si>
  <si>
    <t xml:space="preserve">6.2</t>
  </si>
  <si>
    <t xml:space="preserve">266.0</t>
  </si>
  <si>
    <t xml:space="preserve">251.0</t>
  </si>
  <si>
    <t xml:space="preserve">72.0</t>
  </si>
  <si>
    <t xml:space="preserve">2.25</t>
  </si>
  <si>
    <t xml:space="preserve">backfilled_micros(potassium_mg,magnesium_mg,zinc_mg,vitamin_a_rae_ug,vitamin_b12_ug,folate_dfe_ug)</t>
  </si>
  <si>
    <t xml:space="preserve">Bear Naked Granola Cereal, Cacao and Cashew Butter, 15 Oz, Bag</t>
  </si>
  <si>
    <t xml:space="preserve">5.84</t>
  </si>
  <si>
    <t xml:space="preserve">15.0 oz</t>
  </si>
  <si>
    <t xml:space="preserve">1.3733</t>
  </si>
  <si>
    <t xml:space="preserve">2680793</t>
  </si>
  <si>
    <t xml:space="preserve">Bear Naked Cereal Granola Cacao And Cashew Butter Soft Baked 11oz</t>
  </si>
  <si>
    <t xml:space="preserve">1/2 Cup</t>
  </si>
  <si>
    <t xml:space="preserve">461.0</t>
  </si>
  <si>
    <t xml:space="preserve">10.2</t>
  </si>
  <si>
    <t xml:space="preserve">6.4</t>
  </si>
  <si>
    <t xml:space="preserve">20.3</t>
  </si>
  <si>
    <t xml:space="preserve">216.0</t>
  </si>
  <si>
    <t xml:space="preserve">339.0</t>
  </si>
  <si>
    <t xml:space="preserve">4.3</t>
  </si>
  <si>
    <t xml:space="preserve">Bobo's Oat Bars, Chocolate Chip, 4 Pack, 3 oz Bars</t>
  </si>
  <si>
    <t xml:space="preserve">7.82</t>
  </si>
  <si>
    <t xml:space="preserve">3.0 oz x4</t>
  </si>
  <si>
    <t xml:space="preserve">2.2987</t>
  </si>
  <si>
    <t xml:space="preserve">2587101</t>
  </si>
  <si>
    <t xml:space="preserve">CHOCOLATE CHIP OAT BARS, CHOCOLATE CHIP</t>
  </si>
  <si>
    <t xml:space="preserve">1/2 Bar</t>
  </si>
  <si>
    <t xml:space="preserve">419.0</t>
  </si>
  <si>
    <t xml:space="preserve">6.98</t>
  </si>
  <si>
    <t xml:space="preserve">23.3</t>
  </si>
  <si>
    <t xml:space="preserve">186.0</t>
  </si>
  <si>
    <t xml:space="preserve">263.0</t>
  </si>
  <si>
    <t xml:space="preserve">2.33</t>
  </si>
  <si>
    <t xml:space="preserve">backfilled_micros(magnesium_mg,vitamin_c_mg,zinc_mg,vitamin_a_rae_ug,vitamin_b12_ug,folate_dfe_ug,mono_fat_g,poly_fat_g)</t>
  </si>
  <si>
    <t xml:space="preserve">GLUTINO Strawberry Breakfast Bars, 7.05 oz Box</t>
  </si>
  <si>
    <t xml:space="preserve">4.52</t>
  </si>
  <si>
    <t xml:space="preserve">7.05 oz</t>
  </si>
  <si>
    <t xml:space="preserve">2.2615</t>
  </si>
  <si>
    <t xml:space="preserve">674172</t>
  </si>
  <si>
    <t xml:space="preserve">STRAWBERRY WAFFLE BREAKFAST BARS, STRAWBERRY WAFFLE</t>
  </si>
  <si>
    <t xml:space="preserve">50.0</t>
  </si>
  <si>
    <t xml:space="preserve">1 BAR</t>
  </si>
  <si>
    <t xml:space="preserve">380.0</t>
  </si>
  <si>
    <t xml:space="preserve">24.0</t>
  </si>
  <si>
    <t xml:space="preserve">10.0</t>
  </si>
  <si>
    <t xml:space="preserve">270.0</t>
  </si>
  <si>
    <t xml:space="preserve">190.0</t>
  </si>
  <si>
    <t xml:space="preserve">80.0</t>
  </si>
  <si>
    <t xml:space="preserve">7.2</t>
  </si>
  <si>
    <t xml:space="preserve">12.0</t>
  </si>
  <si>
    <t xml:space="preserve">Great Value Chocolate Chip Dipped Chewy Granola Bars Value Pack, 1.1 oz, 20 Count</t>
  </si>
  <si>
    <t xml:space="preserve">5.54</t>
  </si>
  <si>
    <t xml:space="preserve">1.1 oz x20</t>
  </si>
  <si>
    <t xml:space="preserve">0.8883</t>
  </si>
  <si>
    <t xml:space="preserve">601875</t>
  </si>
  <si>
    <t xml:space="preserve">CHOCOLATE CHIP DIPPED CHEWY GRANOLA BARS, CHOCOLATE CHIP</t>
  </si>
  <si>
    <t xml:space="preserve">31.0</t>
  </si>
  <si>
    <t xml:space="preserve">484.0</t>
  </si>
  <si>
    <t xml:space="preserve">3.23</t>
  </si>
  <si>
    <t xml:space="preserve">3.2</t>
  </si>
  <si>
    <t xml:space="preserve">38.7</t>
  </si>
  <si>
    <t xml:space="preserve">161.0</t>
  </si>
  <si>
    <t xml:space="preserve">2.26</t>
  </si>
  <si>
    <t xml:space="preserve">backfilled_micros(potassium_mg,magnesium_mg,vitamin_c_mg,zinc_mg,vitamin_a_rae_ug,vitamin_b12_ug,folate_dfe_ug)</t>
  </si>
  <si>
    <t xml:space="preserve">Blue Bonnet Vegetable Oil Spread 4 Sticks, 16 oz</t>
  </si>
  <si>
    <t xml:space="preserve">1.63</t>
  </si>
  <si>
    <t xml:space="preserve">0.3594</t>
  </si>
  <si>
    <t xml:space="preserve">1133844</t>
  </si>
  <si>
    <t xml:space="preserve">45% VEGETABLE OIL SPREAD</t>
  </si>
  <si>
    <t xml:space="preserve">14.0</t>
  </si>
  <si>
    <t xml:space="preserve">1 Tbsp</t>
  </si>
  <si>
    <t xml:space="preserve">429.0</t>
  </si>
  <si>
    <t xml:space="preserve">643.0</t>
  </si>
  <si>
    <t xml:space="preserve">Breakstone's All Natural Salted Butter, 16 oz</t>
  </si>
  <si>
    <t xml:space="preserve">4.96</t>
  </si>
  <si>
    <t xml:space="preserve">1.0935</t>
  </si>
  <si>
    <t xml:space="preserve">1114242</t>
  </si>
  <si>
    <t xml:space="preserve">SALTED BUTTER, SALTED</t>
  </si>
  <si>
    <t xml:space="preserve">714.0</t>
  </si>
  <si>
    <t xml:space="preserve">2.0</t>
  </si>
  <si>
    <t xml:space="preserve">backfilled_micros(potassium_mg,magnesium_mg,zinc_mg,vitamin_a_rae_ug,vitamin_b12_ug,folate_dfe_ug,vitamin_d_iu,mono_fat_g,poly_fat_g)</t>
  </si>
  <si>
    <t xml:space="preserve">Cabot Butter Unsalted - 4 CT</t>
  </si>
  <si>
    <t xml:space="preserve">4.87</t>
  </si>
  <si>
    <t xml:space="preserve">4.0 oz (assumed)</t>
  </si>
  <si>
    <t xml:space="preserve">4.2946</t>
  </si>
  <si>
    <t xml:space="preserve">1126023</t>
  </si>
  <si>
    <t xml:space="preserve">UNSALTED BUTTER, UNSALTED</t>
  </si>
  <si>
    <t xml:space="preserve">786.0</t>
  </si>
  <si>
    <t xml:space="preserve">19.0</t>
  </si>
  <si>
    <t xml:space="preserve">1.6</t>
  </si>
  <si>
    <t xml:space="preserve">assumed_size;backfilled_micros(potassium_mg,magnesium_mg,zinc_mg)</t>
  </si>
  <si>
    <t xml:space="preserve">Cabot Salted Butter Quarters, 1 lb</t>
  </si>
  <si>
    <t xml:space="preserve">1.0 lb</t>
  </si>
  <si>
    <t xml:space="preserve">1.0737</t>
  </si>
  <si>
    <t xml:space="preserve">1871060</t>
  </si>
  <si>
    <t xml:space="preserve">BUTTER QUARTERS, SALTED</t>
  </si>
  <si>
    <t xml:space="preserve">backfilled_micros(potassium_mg,magnesium_mg,vitamin_c_mg,zinc_mg,vitamin_a_rae_ug,vitamin_b12_ug,folate_dfe_ug,vitamin_d_iu,mono_fat_g,poly_fat_g)</t>
  </si>
  <si>
    <t xml:space="preserve">Challenge Butter Unsalted Butter, 16 oz, 4 Sticks</t>
  </si>
  <si>
    <t xml:space="preserve">4.97</t>
  </si>
  <si>
    <t xml:space="preserve">1.0957</t>
  </si>
  <si>
    <t xml:space="preserve">1116158</t>
  </si>
  <si>
    <t xml:space="preserve">backfilled_micros(potassium_mg,magnesium_mg,zinc_mg)</t>
  </si>
  <si>
    <t xml:space="preserve">Bumble Bee Tuna Salad Sandwich in Seconds, 2.5 oz Pouch</t>
  </si>
  <si>
    <t xml:space="preserve">1.08</t>
  </si>
  <si>
    <t xml:space="preserve">2.5 oz</t>
  </si>
  <si>
    <t xml:space="preserve">1.5238</t>
  </si>
  <si>
    <t xml:space="preserve">683170</t>
  </si>
  <si>
    <t xml:space="preserve">SANDWICH IN SECONDS TUNA SALAD, TUNA</t>
  </si>
  <si>
    <t xml:space="preserve">71.0</t>
  </si>
  <si>
    <t xml:space="preserve">1 POUCH</t>
  </si>
  <si>
    <t xml:space="preserve">85.0</t>
  </si>
  <si>
    <t xml:space="preserve">11.27</t>
  </si>
  <si>
    <t xml:space="preserve">1.4</t>
  </si>
  <si>
    <t xml:space="preserve">2.8</t>
  </si>
  <si>
    <t xml:space="preserve">479.0</t>
  </si>
  <si>
    <t xml:space="preserve">178.0</t>
  </si>
  <si>
    <t xml:space="preserve">0.56</t>
  </si>
  <si>
    <t xml:space="preserve">2.2</t>
  </si>
  <si>
    <t xml:space="preserve">backfilled_micros(potassium_mg,magnesium_mg,vitamin_c_mg,zinc_mg,vitamin_a_rae_ug,vitamin_b12_ug,folate_dfe_ug,mono_fat_g,poly_fat_g)</t>
  </si>
  <si>
    <t xml:space="preserve">Freshness Guaranteed Amish Potato Salad, 48 oz</t>
  </si>
  <si>
    <t xml:space="preserve">4.77</t>
  </si>
  <si>
    <t xml:space="preserve">48.0 oz</t>
  </si>
  <si>
    <t xml:space="preserve">0.3505</t>
  </si>
  <si>
    <t xml:space="preserve">486908</t>
  </si>
  <si>
    <t xml:space="preserve">AMISH POTATO SALAD</t>
  </si>
  <si>
    <t xml:space="preserve">0.5 cup</t>
  </si>
  <si>
    <t xml:space="preserve">179.0</t>
  </si>
  <si>
    <t xml:space="preserve">2.14</t>
  </si>
  <si>
    <t xml:space="preserve">2.1</t>
  </si>
  <si>
    <t xml:space="preserve">242.0</t>
  </si>
  <si>
    <t xml:space="preserve">15.0</t>
  </si>
  <si>
    <t xml:space="preserve">1.03</t>
  </si>
  <si>
    <t xml:space="preserve">Freshness Guaranteed Deviled Egg Macaroni Salad, 16 oz</t>
  </si>
  <si>
    <t xml:space="preserve">3.64</t>
  </si>
  <si>
    <t xml:space="preserve">0.8025</t>
  </si>
  <si>
    <t xml:space="preserve">887348</t>
  </si>
  <si>
    <t xml:space="preserve">DEVILED EGG MACARONI SALAD, DEVILED EGG MACARONI</t>
  </si>
  <si>
    <t xml:space="preserve">1/2 cup</t>
  </si>
  <si>
    <t xml:space="preserve">171.0</t>
  </si>
  <si>
    <t xml:space="preserve">5.71</t>
  </si>
  <si>
    <t xml:space="preserve">0.7</t>
  </si>
  <si>
    <t xml:space="preserve">443.0</t>
  </si>
  <si>
    <t xml:space="preserve">0.8</t>
  </si>
  <si>
    <t xml:space="preserve">Freshness Guaranteed Original Potato Salad, 48 oz</t>
  </si>
  <si>
    <t xml:space="preserve">374475</t>
  </si>
  <si>
    <t xml:space="preserve">POTATO SALAD</t>
  </si>
  <si>
    <t xml:space="preserve">130.0</t>
  </si>
  <si>
    <t xml:space="preserve">185.0</t>
  </si>
  <si>
    <t xml:space="preserve">2.31</t>
  </si>
  <si>
    <t xml:space="preserve">338.0</t>
  </si>
  <si>
    <t xml:space="preserve">0.55</t>
  </si>
  <si>
    <t xml:space="preserve">13.8</t>
  </si>
  <si>
    <t xml:space="preserve">Marketside BLT Salad with Uncured Ham and Bacon, 6.81 oz</t>
  </si>
  <si>
    <t xml:space="preserve">4.28</t>
  </si>
  <si>
    <t xml:space="preserve">6.81 oz</t>
  </si>
  <si>
    <t xml:space="preserve">2.2169</t>
  </si>
  <si>
    <t xml:space="preserve">2658406</t>
  </si>
  <si>
    <t xml:space="preserve">UNCURED HAM SALAD, UNCURED HAM</t>
  </si>
  <si>
    <t xml:space="preserve">106.0</t>
  </si>
  <si>
    <t xml:space="preserve">264.0</t>
  </si>
  <si>
    <t xml:space="preserve">13.21</t>
  </si>
  <si>
    <t xml:space="preserve">6.6</t>
  </si>
  <si>
    <t xml:space="preserve">745.0</t>
  </si>
  <si>
    <t xml:space="preserve">698.0</t>
  </si>
  <si>
    <t xml:space="preserve">0.47</t>
  </si>
  <si>
    <t xml:space="preserve">backfilled_micros(magnesium_mg,vitamin_c_mg,zinc_mg,vitamin_a_rae_ug,vitamin_b12_ug,folate_dfe_ug,vitamin_d_iu,mono_fat_g,poly_fat_g)</t>
  </si>
  <si>
    <t xml:space="preserve">Concord Foods Lemon Juice, 4.5 oz</t>
  </si>
  <si>
    <t xml:space="preserve">0.92</t>
  </si>
  <si>
    <t xml:space="preserve">4.5 oz</t>
  </si>
  <si>
    <t xml:space="preserve">0.7212</t>
  </si>
  <si>
    <t xml:space="preserve">167747</t>
  </si>
  <si>
    <t xml:space="preserve">Lemon juice, raw</t>
  </si>
  <si>
    <t xml:space="preserve">140</t>
  </si>
  <si>
    <t xml:space="preserve">1 cup</t>
  </si>
  <si>
    <t xml:space="preserve">22.0</t>
  </si>
  <si>
    <t xml:space="preserve">0.35</t>
  </si>
  <si>
    <t xml:space="preserve">0.3</t>
  </si>
  <si>
    <t xml:space="preserve">1.0</t>
  </si>
  <si>
    <t xml:space="preserve">103.0</t>
  </si>
  <si>
    <t xml:space="preserve">6.0</t>
  </si>
  <si>
    <t xml:space="preserve">0.08</t>
  </si>
  <si>
    <t xml:space="preserve">Fresh Color Bell Peppers, 3 count</t>
  </si>
  <si>
    <t xml:space="preserve">2.98</t>
  </si>
  <si>
    <t xml:space="preserve">3 count</t>
  </si>
  <si>
    <t xml:space="preserve">2258590</t>
  </si>
  <si>
    <t xml:space="preserve">Peppers, bell, red, raw</t>
  </si>
  <si>
    <t xml:space="preserve">USDA Foundation</t>
  </si>
  <si>
    <t xml:space="preserve">31.3256</t>
  </si>
  <si>
    <t xml:space="preserve">0.895625</t>
  </si>
  <si>
    <t xml:space="preserve">1.158</t>
  </si>
  <si>
    <t xml:space="preserve">212.7</t>
  </si>
  <si>
    <t xml:space="preserve">10.98</t>
  </si>
  <si>
    <t xml:space="preserve">0.3533</t>
  </si>
  <si>
    <t xml:space="preserve">141.7</t>
  </si>
  <si>
    <t xml:space="preserve">Freshness Guaranteed Cantaloupe, 10 oz</t>
  </si>
  <si>
    <t xml:space="preserve">2.97</t>
  </si>
  <si>
    <t xml:space="preserve">10.0 oz</t>
  </si>
  <si>
    <t xml:space="preserve">1.0476</t>
  </si>
  <si>
    <t xml:space="preserve">327198</t>
  </si>
  <si>
    <t xml:space="preserve">Melons, cantaloupe, raw</t>
  </si>
  <si>
    <t xml:space="preserve">34.0</t>
  </si>
  <si>
    <t xml:space="preserve">0.82</t>
  </si>
  <si>
    <t xml:space="preserve">157.0</t>
  </si>
  <si>
    <t xml:space="preserve">13.0</t>
  </si>
  <si>
    <t xml:space="preserve">0.38</t>
  </si>
  <si>
    <t xml:space="preserve">10.9</t>
  </si>
  <si>
    <t xml:space="preserve">Freshness Guaranteed Fruit Tray, 48 oz</t>
  </si>
  <si>
    <t xml:space="preserve">12.97</t>
  </si>
  <si>
    <t xml:space="preserve">0.9531</t>
  </si>
  <si>
    <t xml:space="preserve">167953</t>
  </si>
  <si>
    <t xml:space="preserve">Fruit syrup</t>
  </si>
  <si>
    <t xml:space="preserve">341.0</t>
  </si>
  <si>
    <t xml:space="preserve">7.0</t>
  </si>
  <si>
    <t xml:space="preserve">0.04</t>
  </si>
  <si>
    <t xml:space="preserve">Freshness Guaranteed Pineapple Chunks, 16 oz</t>
  </si>
  <si>
    <t xml:space="preserve">4.48</t>
  </si>
  <si>
    <t xml:space="preserve">0.9877</t>
  </si>
  <si>
    <t xml:space="preserve">169946</t>
  </si>
  <si>
    <t xml:space="preserve">Pineapple, frozen, chunks, sweetened</t>
  </si>
  <si>
    <t xml:space="preserve">86.0</t>
  </si>
  <si>
    <t xml:space="preserve">1.1</t>
  </si>
  <si>
    <t xml:space="preserve">100.0</t>
  </si>
  <si>
    <t xml:space="preserve">8.0</t>
  </si>
  <si>
    <t xml:space="preserve">(2 Pack) Banza Pizza Crust, 13.4 Oz</t>
  </si>
  <si>
    <t xml:space="preserve">13.4 oz x2</t>
  </si>
  <si>
    <t xml:space="preserve">1.1188</t>
  </si>
  <si>
    <t xml:space="preserve">407048</t>
  </si>
  <si>
    <t xml:space="preserve">PIZZA CRUST</t>
  </si>
  <si>
    <t xml:space="preserve">57.0</t>
  </si>
  <si>
    <t xml:space="preserve">0.166 CRUST</t>
  </si>
  <si>
    <t xml:space="preserve">281.0</t>
  </si>
  <si>
    <t xml:space="preserve">8.77</t>
  </si>
  <si>
    <t xml:space="preserve">1.8</t>
  </si>
  <si>
    <t xml:space="preserve">456.0</t>
  </si>
  <si>
    <t xml:space="preserve">168.0</t>
  </si>
  <si>
    <t xml:space="preserve">21.0</t>
  </si>
  <si>
    <t xml:space="preserve">1.26</t>
  </si>
  <si>
    <t xml:space="preserve">backfilled_micros(potassium_mg,magnesium_mg,zinc_mg,vitamin_a_rae_ug,vitamin_b12_ug)</t>
  </si>
  <si>
    <t xml:space="preserve">5lb 73% Frozen Ground Beef (Frozen)</t>
  </si>
  <si>
    <t xml:space="preserve">18.56</t>
  </si>
  <si>
    <t xml:space="preserve">5.0 lb</t>
  </si>
  <si>
    <t xml:space="preserve">0.8184</t>
  </si>
  <si>
    <t xml:space="preserve">1121152</t>
  </si>
  <si>
    <t xml:space="preserve">GROUND BEEF</t>
  </si>
  <si>
    <t xml:space="preserve">112.0</t>
  </si>
  <si>
    <t xml:space="preserve">4 ONZ</t>
  </si>
  <si>
    <t xml:space="preserve">304.0</t>
  </si>
  <si>
    <t xml:space="preserve">16.96</t>
  </si>
  <si>
    <t xml:space="preserve">67.0</t>
  </si>
  <si>
    <t xml:space="preserve">305.0</t>
  </si>
  <si>
    <t xml:space="preserve">1.61</t>
  </si>
  <si>
    <t xml:space="preserve">backfilled_micros(potassium_mg,magnesium_mg,vitamin_c_mg,vitamin_a_rae_ug,folate_dfe_ug,vitamin_d_iu,mono_fat_g,poly_fat_g)</t>
  </si>
  <si>
    <t xml:space="preserve">Amy's Organic Macaroni and Cheese Frozen Meal, 9oz</t>
  </si>
  <si>
    <t xml:space="preserve">4.0</t>
  </si>
  <si>
    <t xml:space="preserve">9.0 oz</t>
  </si>
  <si>
    <t xml:space="preserve">1.5677</t>
  </si>
  <si>
    <t xml:space="preserve">2692448</t>
  </si>
  <si>
    <t xml:space="preserve">Stouffer's Macaroni &amp; Cheese Frozen Meal</t>
  </si>
  <si>
    <t xml:space="preserve">340.0</t>
  </si>
  <si>
    <t xml:space="preserve">1 Package (340g)</t>
  </si>
  <si>
    <t xml:space="preserve">141.0</t>
  </si>
  <si>
    <t xml:space="preserve">6.18</t>
  </si>
  <si>
    <t xml:space="preserve">0.6</t>
  </si>
  <si>
    <t xml:space="preserve">376.0</t>
  </si>
  <si>
    <t xml:space="preserve">132.0</t>
  </si>
  <si>
    <t xml:space="preserve">17.0</t>
  </si>
  <si>
    <t xml:space="preserve">0.21</t>
  </si>
  <si>
    <t xml:space="preserve">Applegate Natural Gluten-Free Chicken Tenders, 16oz (Frozen)</t>
  </si>
  <si>
    <t xml:space="preserve">13.61</t>
  </si>
  <si>
    <t xml:space="preserve">3.0005</t>
  </si>
  <si>
    <t xml:space="preserve">483077</t>
  </si>
  <si>
    <t xml:space="preserve">CHICKEN TENDERS</t>
  </si>
  <si>
    <t xml:space="preserve">84.0</t>
  </si>
  <si>
    <t xml:space="preserve">3 TENDERS</t>
  </si>
  <si>
    <t xml:space="preserve">214.0</t>
  </si>
  <si>
    <t xml:space="preserve">10.71</t>
  </si>
  <si>
    <t xml:space="preserve">2.4</t>
  </si>
  <si>
    <t xml:space="preserve">369.0</t>
  </si>
  <si>
    <t xml:space="preserve">373.0</t>
  </si>
  <si>
    <t xml:space="preserve">28.0</t>
  </si>
  <si>
    <t xml:space="preserve">1.71</t>
  </si>
  <si>
    <t xml:space="preserve">backfilled_micros(potassium_mg,magnesium_mg,zinc_mg,vitamin_a_rae_ug,vitamin_b12_ug,folate_dfe_ug,vitamin_d_iu)</t>
  </si>
  <si>
    <t xml:space="preserve">BANQUET Basic Spaghetti With Chicken Nuggets, 7 oz</t>
  </si>
  <si>
    <t xml:space="preserve">1.24</t>
  </si>
  <si>
    <t xml:space="preserve">7.0 oz</t>
  </si>
  <si>
    <t xml:space="preserve">0.6249</t>
  </si>
  <si>
    <t xml:space="preserve">2722528</t>
  </si>
  <si>
    <t xml:space="preserve">BANQUET Basic Spaghetti With Chicken Nuggets</t>
  </si>
  <si>
    <t xml:space="preserve">198.0</t>
  </si>
  <si>
    <t xml:space="preserve">1 Meal (198g)</t>
  </si>
  <si>
    <t xml:space="preserve">5.05</t>
  </si>
  <si>
    <t xml:space="preserve">1.5</t>
  </si>
  <si>
    <t xml:space="preserve">126.0</t>
  </si>
  <si>
    <t xml:space="preserve">0.86</t>
  </si>
  <si>
    <t xml:space="preserve">backfilled_micros(magnesium_mg,zinc_mg,vitamin_b12_ug)</t>
  </si>
  <si>
    <t xml:space="preserve">73% Lean/27% Fat Ground Beef Roll, 1lb (Frozen)</t>
  </si>
  <si>
    <t xml:space="preserve">4.37</t>
  </si>
  <si>
    <t xml:space="preserve">0.9634</t>
  </si>
  <si>
    <t xml:space="preserve">2514743</t>
  </si>
  <si>
    <t xml:space="preserve">Beef, ground, 90% lean meat / 10% fat, raw</t>
  </si>
  <si>
    <t xml:space="preserve">112</t>
  </si>
  <si>
    <t xml:space="preserve">4 oz raw</t>
  </si>
  <si>
    <t xml:space="preserve">184.8648</t>
  </si>
  <si>
    <t xml:space="preserve">18.15625</t>
  </si>
  <si>
    <t xml:space="preserve">61.64</t>
  </si>
  <si>
    <t xml:space="preserve">281.4</t>
  </si>
  <si>
    <t xml:space="preserve">16.49</t>
  </si>
  <si>
    <t xml:space="preserve">2.128</t>
  </si>
  <si>
    <t xml:space="preserve">85% Lean/15% Fat Ground Beef Roll, 1lb (Frozen)</t>
  </si>
  <si>
    <t xml:space="preserve">5.26</t>
  </si>
  <si>
    <t xml:space="preserve">1.1596</t>
  </si>
  <si>
    <t xml:space="preserve">All Natural Ground Chicken, 1 lb</t>
  </si>
  <si>
    <t xml:space="preserve">1.2214</t>
  </si>
  <si>
    <t xml:space="preserve">171116</t>
  </si>
  <si>
    <t xml:space="preserve">Chicken, ground, raw</t>
  </si>
  <si>
    <t xml:space="preserve">143.0</t>
  </si>
  <si>
    <t xml:space="preserve">17.44</t>
  </si>
  <si>
    <t xml:space="preserve">60.0</t>
  </si>
  <si>
    <t xml:space="preserve">522.0</t>
  </si>
  <si>
    <t xml:space="preserve">All Natural Ground Chicken, 1lb</t>
  </si>
  <si>
    <t xml:space="preserve">3.44</t>
  </si>
  <si>
    <t xml:space="preserve">0.7584</t>
  </si>
  <si>
    <t xml:space="preserve">All Natural* 73% Lean/27% Fat Ground Beef Patties 8 Count, 2 lb</t>
  </si>
  <si>
    <t xml:space="preserve">8.64</t>
  </si>
  <si>
    <t xml:space="preserve">2.0 lb x8</t>
  </si>
  <si>
    <t xml:space="preserve">0.119</t>
  </si>
  <si>
    <t xml:space="preserve">174495</t>
  </si>
  <si>
    <t xml:space="preserve">Turkey, ground, 85% lean, 15% fat, patties, broiled</t>
  </si>
  <si>
    <t xml:space="preserve">249.0</t>
  </si>
  <si>
    <t xml:space="preserve">25.88</t>
  </si>
  <si>
    <t xml:space="preserve">81.0</t>
  </si>
  <si>
    <t xml:space="preserve">25.0</t>
  </si>
  <si>
    <t xml:space="preserve">2.04</t>
  </si>
  <si>
    <t xml:space="preserve">(12 Cups) Del Monte Cherry Mixed Fruit Cup Snacks in 100% Juice, 4 oz</t>
  </si>
  <si>
    <t xml:space="preserve">4.0 oz</t>
  </si>
  <si>
    <t xml:space="preserve">6.1553</t>
  </si>
  <si>
    <t xml:space="preserve">2479762</t>
  </si>
  <si>
    <t xml:space="preserve">CHERRY MIXED FRUIT IN FRUIT JUICE, CHERRY IN FRUIT JUICE</t>
  </si>
  <si>
    <t xml:space="preserve">113.0</t>
  </si>
  <si>
    <t xml:space="preserve">53.0</t>
  </si>
  <si>
    <t xml:space="preserve">0.88</t>
  </si>
  <si>
    <t xml:space="preserve">0.9</t>
  </si>
  <si>
    <t xml:space="preserve">5.0</t>
  </si>
  <si>
    <t xml:space="preserve">23.9</t>
  </si>
  <si>
    <t xml:space="preserve">backfilled_micros(magnesium_mg,zinc_mg,vitamin_a_rae_ug,vitamin_b12_ug,folate_dfe_ug,mono_fat_g,poly_fat_g)</t>
  </si>
  <si>
    <t xml:space="preserve">(12 Cups) Del Monte Fruit Cups, Family Pack, No Sugar Added, 4 oz</t>
  </si>
  <si>
    <t xml:space="preserve">824410</t>
  </si>
  <si>
    <t xml:space="preserve">NO SUGAR ADDED FRUIT COCKTAIL</t>
  </si>
  <si>
    <t xml:space="preserve">121.0</t>
  </si>
  <si>
    <t xml:space="preserve">33.0</t>
  </si>
  <si>
    <t xml:space="preserve">83.0</t>
  </si>
  <si>
    <t xml:space="preserve">(12 Cups) Del Monte Mandarin Oranges Fruit Cup Snacks, 100% Juice, 4 oz</t>
  </si>
  <si>
    <t xml:space="preserve">2385938</t>
  </si>
  <si>
    <t xml:space="preserve">MANDARIN ORANGES IN 100% JUICE FRUIT CUP SNACKS, MANDARIN ORANGES</t>
  </si>
  <si>
    <t xml:space="preserve">11.0</t>
  </si>
  <si>
    <t xml:space="preserve">0.18</t>
  </si>
  <si>
    <t xml:space="preserve">34.2</t>
  </si>
  <si>
    <t xml:space="preserve">(12 Pack) GoGo Squeez Apple, Banana, and Strawberry Pouch, 3.2 oz, 12 Pack</t>
  </si>
  <si>
    <t xml:space="preserve">7.78</t>
  </si>
  <si>
    <t xml:space="preserve">3.2 oz x12</t>
  </si>
  <si>
    <t xml:space="preserve">0.7147</t>
  </si>
  <si>
    <t xml:space="preserve">479300</t>
  </si>
  <si>
    <t xml:space="preserve">APPLE STRAWBERRY BANANA</t>
  </si>
  <si>
    <t xml:space="preserve">90.0</t>
  </si>
  <si>
    <t xml:space="preserve">1.3</t>
  </si>
  <si>
    <t xml:space="preserve">backfilled_micros(magnesium_mg,zinc_mg,vitamin_a_rae_ug,vitamin_b12_ug,folate_dfe_ug,vitamin_d_iu,mono_fat_g,poly_fat_g)</t>
  </si>
  <si>
    <t xml:space="preserve">(12 Pack) Great Value Organic Applesauce Pouches, Unsweetened, 3.2 oz, 12 Pack</t>
  </si>
  <si>
    <t xml:space="preserve">6.58</t>
  </si>
  <si>
    <t xml:space="preserve">0.6044</t>
  </si>
  <si>
    <t xml:space="preserve">2641889</t>
  </si>
  <si>
    <t xml:space="preserve">UNSWEETENED APPLESAUCE POUCHES, UNSWEETENED</t>
  </si>
  <si>
    <t xml:space="preserve">1 pouch</t>
  </si>
  <si>
    <t xml:space="preserve">3.938</t>
  </si>
  <si>
    <t xml:space="preserve">43.69</t>
  </si>
  <si>
    <t xml:space="preserve">backfilled_micros(magnesium_mg,vitamin_c_mg,zinc_mg)</t>
  </si>
  <si>
    <t xml:space="preserve">Column</t>
  </si>
  <si>
    <t xml:space="preserve">Definition</t>
  </si>
  <si>
    <t xml:space="preserve">department / category</t>
  </si>
  <si>
    <t xml:space="preserve">Walmart taxonomy, canonicalized (Fresh Produce prioritized for cross-listed items)</t>
  </si>
  <si>
    <t xml:space="preserve">product_name / brand</t>
  </si>
  <si>
    <t xml:space="preserve">As listed on walmart.com, Sept 2022 snapshot. Brand kept as its own column for receipt matching and brand-level disruption scoring.</t>
  </si>
  <si>
    <t xml:space="preserve">Median price across the 26 store ZIP codes</t>
  </si>
  <si>
    <t xml:space="preserve">Parsed from product name (weight ranges use midpoint)</t>
  </si>
  <si>
    <t xml:space="preserve">Price per 100 g — weight-based items only. Pairs directly with the per-100g nutrient columns.</t>
  </si>
  <si>
    <t xml:space="preserve">product_url</t>
  </si>
  <si>
    <t xml:space="preserve">Live walmart.com product page — provenance that the item is real</t>
  </si>
  <si>
    <t xml:space="preserve">USDA FoodData Central stable primary key — join key for Food Matcher (Skill A), the MCP reference store, and future food_portion.csv joins</t>
  </si>
  <si>
    <t xml:space="preserve">usda_description / usda_source / match_confidence</t>
  </si>
  <si>
    <t xml:space="preserve">Matched USDA food, which FDC dataset it came from, and the per-row reliability tier (high or medium — lower tiers removed by curation).</t>
  </si>
  <si>
    <t xml:space="preserve">serving_size_g / household_serving</t>
  </si>
  <si>
    <t xml:space="preserve">Grams per serving + friendly text ("1 cup raw"). Real branded label value unless data_flags contains racc_serving (FDA RACC standard for the category).</t>
  </si>
  <si>
    <t xml:space="preserve">calories_kcal ... folate_dfe_ug (23 columns)</t>
  </si>
  <si>
    <t xml:space="preserve">Real USDA FDC nutrient values per 100 g (100 ml for liquids). Blank = unknown, never zero.</t>
  </si>
  <si>
    <t xml:space="preserve">Added sugars (USDA nutrient 539) — key diabetes signal. From post-2020 labels or inferred 0 where total sugars = 0; blank = unknown.</t>
  </si>
  <si>
    <t xml:space="preserve">Consolidated honesty flags: assumed_size (pack size imputed), racc_serving (category-standard serving), backfilled_micros(cols) (micros filled from generic USDA equivalent), suspect_values (implausible label data)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</si>
</sst>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3" t="s">
        <v>5</v>
      </c>
    </row>
    <row r="6" customFormat="false" ht="1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1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2" customFormat="false" ht="15" hidden="false" customHeight="false" outlineLevel="0" collapsed="false">
      <c r="A12" s="2" t="s">
        <v>16</v>
      </c>
    </row>
    <row r="13" customFormat="false" ht="15" hidden="false" customHeight="false" outlineLevel="0" collapsed="false">
      <c r="A13" s="3" t="s">
        <v>17</v>
      </c>
      <c r="B13" s="4" t="n">
        <v>8986</v>
      </c>
    </row>
    <row r="14" customFormat="false" ht="15" hidden="false" customHeight="false" outlineLevel="0" collapsed="false">
      <c r="A14" s="3" t="s">
        <v>18</v>
      </c>
      <c r="B14" s="4" t="n">
        <v>38</v>
      </c>
    </row>
    <row r="15" customFormat="false" ht="15" hidden="false" customHeight="false" outlineLevel="0" collapsed="false">
      <c r="A15" s="3" t="s">
        <v>19</v>
      </c>
      <c r="B15" s="4" t="n">
        <v>7955</v>
      </c>
    </row>
    <row r="16" customFormat="false" ht="15" hidden="false" customHeight="false" outlineLevel="0" collapsed="false">
      <c r="A16" s="3" t="s">
        <v>20</v>
      </c>
      <c r="B16" s="4" t="n">
        <v>1031</v>
      </c>
    </row>
    <row r="17" customFormat="false" ht="15" hidden="false" customHeight="false" outlineLevel="0" collapsed="false">
      <c r="A17" s="3" t="s">
        <v>21</v>
      </c>
      <c r="B17" s="4" t="n">
        <v>7042</v>
      </c>
    </row>
    <row r="18" customFormat="false" ht="15" hidden="false" customHeight="false" outlineLevel="0" collapsed="false">
      <c r="A18" s="3" t="s">
        <v>22</v>
      </c>
      <c r="B18" s="4" t="n">
        <v>1944</v>
      </c>
    </row>
    <row r="19" customFormat="false" ht="15" hidden="false" customHeight="false" outlineLevel="0" collapsed="false">
      <c r="A19" s="3" t="s">
        <v>23</v>
      </c>
      <c r="B19" s="4" t="n">
        <v>3395</v>
      </c>
    </row>
    <row r="20" customFormat="false" ht="15" hidden="false" customHeight="false" outlineLevel="0" collapsed="false">
      <c r="A20" s="3" t="s">
        <v>24</v>
      </c>
      <c r="B20" s="4" t="n">
        <v>188</v>
      </c>
    </row>
    <row r="21" customFormat="false" ht="15" hidden="false" customHeight="false" outlineLevel="0" collapsed="false">
      <c r="A21" s="3" t="s">
        <v>25</v>
      </c>
      <c r="B21" s="4" t="n">
        <v>39</v>
      </c>
    </row>
    <row r="22" customFormat="false" ht="15" hidden="false" customHeight="false" outlineLevel="0" collapsed="false">
      <c r="A22" s="3" t="s">
        <v>26</v>
      </c>
      <c r="B22" s="4" t="n">
        <v>3845</v>
      </c>
    </row>
    <row r="23" customFormat="false" ht="15" hidden="false" customHeight="false" outlineLevel="0" collapsed="false">
      <c r="A23" s="3" t="s">
        <v>27</v>
      </c>
      <c r="B23" s="4" t="n">
        <v>8076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28</v>
      </c>
      <c r="B1" s="5" t="s">
        <v>29</v>
      </c>
      <c r="C1" s="5" t="s">
        <v>30</v>
      </c>
      <c r="D1" s="5" t="s">
        <v>31</v>
      </c>
    </row>
    <row r="2" customFormat="false" ht="15" hidden="false" customHeight="false" outlineLevel="0" collapsed="false">
      <c r="A2" s="3" t="s">
        <v>32</v>
      </c>
      <c r="B2" s="3" t="s">
        <v>33</v>
      </c>
      <c r="C2" s="3" t="n">
        <v>316</v>
      </c>
      <c r="D2" s="6" t="n">
        <f aca="false">ROUND(1113.52/C2,2)</f>
        <v>3.52</v>
      </c>
    </row>
    <row r="3" customFormat="false" ht="15" hidden="false" customHeight="false" outlineLevel="0" collapsed="false">
      <c r="A3" s="3" t="s">
        <v>32</v>
      </c>
      <c r="B3" s="3" t="s">
        <v>34</v>
      </c>
      <c r="C3" s="3" t="n">
        <v>158</v>
      </c>
      <c r="D3" s="6" t="n">
        <f aca="false">ROUND(546.64/C3,2)</f>
        <v>3.46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n">
        <v>101</v>
      </c>
      <c r="D4" s="6" t="n">
        <f aca="false">ROUND(499.73/C4,2)</f>
        <v>4.95</v>
      </c>
    </row>
    <row r="5" customFormat="false" ht="15" hidden="false" customHeight="false" outlineLevel="0" collapsed="false">
      <c r="A5" s="3" t="s">
        <v>35</v>
      </c>
      <c r="B5" s="3" t="s">
        <v>37</v>
      </c>
      <c r="C5" s="3" t="n">
        <v>2</v>
      </c>
      <c r="D5" s="6" t="n">
        <f aca="false">ROUND(3.76/C5,2)</f>
        <v>1.88</v>
      </c>
    </row>
    <row r="6" customFormat="false" ht="15" hidden="false" customHeight="false" outlineLevel="0" collapsed="false">
      <c r="A6" s="3" t="s">
        <v>35</v>
      </c>
      <c r="B6" s="3" t="s">
        <v>38</v>
      </c>
      <c r="C6" s="3" t="n">
        <v>157</v>
      </c>
      <c r="D6" s="6" t="n">
        <f aca="false">ROUND(563.15/C6,2)</f>
        <v>3.59</v>
      </c>
    </row>
    <row r="7" customFormat="false" ht="15" hidden="false" customHeight="false" outlineLevel="0" collapsed="false">
      <c r="A7" s="3" t="s">
        <v>37</v>
      </c>
      <c r="B7" s="3" t="s">
        <v>39</v>
      </c>
      <c r="C7" s="3" t="n">
        <v>93</v>
      </c>
      <c r="D7" s="6" t="n">
        <f aca="false">ROUND(432.38/C7,2)</f>
        <v>4.65</v>
      </c>
    </row>
    <row r="8" customFormat="false" ht="15" hidden="false" customHeight="false" outlineLevel="0" collapsed="false">
      <c r="A8" s="3" t="s">
        <v>37</v>
      </c>
      <c r="B8" s="3" t="s">
        <v>40</v>
      </c>
      <c r="C8" s="3" t="n">
        <v>638</v>
      </c>
      <c r="D8" s="6" t="n">
        <f aca="false">ROUND(2913.42/C8,2)</f>
        <v>4.57</v>
      </c>
    </row>
    <row r="9" customFormat="false" ht="15" hidden="false" customHeight="false" outlineLevel="0" collapsed="false">
      <c r="A9" s="3" t="s">
        <v>37</v>
      </c>
      <c r="B9" s="3" t="s">
        <v>41</v>
      </c>
      <c r="C9" s="3" t="n">
        <v>177</v>
      </c>
      <c r="D9" s="6" t="n">
        <f aca="false">ROUND(751.480000000001/C9,2)</f>
        <v>4.25</v>
      </c>
    </row>
    <row r="10" customFormat="false" ht="15" hidden="false" customHeight="false" outlineLevel="0" collapsed="false">
      <c r="A10" s="3" t="s">
        <v>37</v>
      </c>
      <c r="B10" s="3" t="s">
        <v>42</v>
      </c>
      <c r="C10" s="3" t="n">
        <v>86</v>
      </c>
      <c r="D10" s="6" t="n">
        <f aca="false">ROUND(373.58/C10,2)</f>
        <v>4.34</v>
      </c>
    </row>
    <row r="11" customFormat="false" ht="15" hidden="false" customHeight="false" outlineLevel="0" collapsed="false">
      <c r="A11" s="3" t="s">
        <v>37</v>
      </c>
      <c r="B11" s="3" t="s">
        <v>43</v>
      </c>
      <c r="C11" s="3" t="n">
        <v>361</v>
      </c>
      <c r="D11" s="6" t="n">
        <f aca="false">ROUND(1331.32/C11,2)</f>
        <v>3.69</v>
      </c>
    </row>
    <row r="12" customFormat="false" ht="15" hidden="false" customHeight="false" outlineLevel="0" collapsed="false">
      <c r="A12" s="3" t="s">
        <v>37</v>
      </c>
      <c r="B12" s="3" t="s">
        <v>44</v>
      </c>
      <c r="C12" s="3" t="n">
        <v>80</v>
      </c>
      <c r="D12" s="6" t="n">
        <f aca="false">ROUND(252.24/C12,2)</f>
        <v>3.15</v>
      </c>
    </row>
    <row r="13" customFormat="false" ht="15" hidden="false" customHeight="false" outlineLevel="0" collapsed="false">
      <c r="A13" s="3" t="s">
        <v>37</v>
      </c>
      <c r="B13" s="3" t="s">
        <v>45</v>
      </c>
      <c r="C13" s="3" t="n">
        <v>522</v>
      </c>
      <c r="D13" s="6" t="n">
        <f aca="false">ROUND(1476.08/C13,2)</f>
        <v>2.83</v>
      </c>
    </row>
    <row r="14" customFormat="false" ht="15" hidden="false" customHeight="false" outlineLevel="0" collapsed="false">
      <c r="A14" s="3" t="s">
        <v>46</v>
      </c>
      <c r="B14" s="3" t="s">
        <v>47</v>
      </c>
      <c r="C14" s="3" t="n">
        <v>46</v>
      </c>
      <c r="D14" s="6" t="n">
        <f aca="false">ROUND(188.65/C14,2)</f>
        <v>4.1</v>
      </c>
    </row>
    <row r="15" customFormat="false" ht="15" hidden="false" customHeight="false" outlineLevel="0" collapsed="false">
      <c r="A15" s="3" t="s">
        <v>46</v>
      </c>
      <c r="B15" s="3" t="s">
        <v>48</v>
      </c>
      <c r="C15" s="3" t="n">
        <v>1</v>
      </c>
      <c r="D15" s="6" t="n">
        <f aca="false">ROUND(12.37/C15,2)</f>
        <v>12.37</v>
      </c>
    </row>
    <row r="16" customFormat="false" ht="15" hidden="false" customHeight="false" outlineLevel="0" collapsed="false">
      <c r="A16" s="3" t="s">
        <v>49</v>
      </c>
      <c r="B16" s="3" t="s">
        <v>50</v>
      </c>
      <c r="C16" s="3" t="n">
        <v>29</v>
      </c>
      <c r="D16" s="6" t="n">
        <f aca="false">ROUND(162.61/C16,2)</f>
        <v>5.61</v>
      </c>
    </row>
    <row r="17" customFormat="false" ht="15" hidden="false" customHeight="false" outlineLevel="0" collapsed="false">
      <c r="A17" s="3" t="s">
        <v>49</v>
      </c>
      <c r="B17" s="3" t="s">
        <v>51</v>
      </c>
      <c r="C17" s="3" t="n">
        <v>81</v>
      </c>
      <c r="D17" s="6" t="n">
        <f aca="false">ROUND(351.81/C17,2)</f>
        <v>4.34</v>
      </c>
    </row>
    <row r="18" customFormat="false" ht="15" hidden="false" customHeight="false" outlineLevel="0" collapsed="false">
      <c r="A18" s="3" t="s">
        <v>49</v>
      </c>
      <c r="B18" s="3" t="s">
        <v>52</v>
      </c>
      <c r="C18" s="3" t="n">
        <v>16</v>
      </c>
      <c r="D18" s="6" t="n">
        <f aca="false">ROUND(44.48/C18,2)</f>
        <v>2.78</v>
      </c>
    </row>
    <row r="19" customFormat="false" ht="15" hidden="false" customHeight="false" outlineLevel="0" collapsed="false">
      <c r="A19" s="3" t="s">
        <v>49</v>
      </c>
      <c r="B19" s="3" t="s">
        <v>53</v>
      </c>
      <c r="C19" s="3" t="n">
        <v>149</v>
      </c>
      <c r="D19" s="6" t="n">
        <f aca="false">ROUND(495.7/C19,2)</f>
        <v>3.33</v>
      </c>
    </row>
    <row r="20" customFormat="false" ht="15" hidden="false" customHeight="false" outlineLevel="0" collapsed="false">
      <c r="A20" s="3" t="s">
        <v>49</v>
      </c>
      <c r="B20" s="3" t="s">
        <v>54</v>
      </c>
      <c r="C20" s="3" t="n">
        <v>34</v>
      </c>
      <c r="D20" s="6" t="n">
        <f aca="false">ROUND(154.77/C20,2)</f>
        <v>4.55</v>
      </c>
    </row>
    <row r="21" customFormat="false" ht="15" hidden="false" customHeight="false" outlineLevel="0" collapsed="false">
      <c r="A21" s="3" t="s">
        <v>49</v>
      </c>
      <c r="B21" s="3" t="s">
        <v>55</v>
      </c>
      <c r="C21" s="3" t="n">
        <v>66</v>
      </c>
      <c r="D21" s="6" t="n">
        <f aca="false">ROUND(291.87/C21,2)</f>
        <v>4.42</v>
      </c>
    </row>
    <row r="22" customFormat="false" ht="15" hidden="false" customHeight="false" outlineLevel="0" collapsed="false">
      <c r="A22" s="3" t="s">
        <v>49</v>
      </c>
      <c r="B22" s="3" t="s">
        <v>56</v>
      </c>
      <c r="C22" s="3" t="n">
        <v>68</v>
      </c>
      <c r="D22" s="6" t="n">
        <f aca="false">ROUND(262.47/C22,2)</f>
        <v>3.86</v>
      </c>
    </row>
    <row r="23" customFormat="false" ht="15" hidden="false" customHeight="false" outlineLevel="0" collapsed="false">
      <c r="A23" s="3" t="s">
        <v>49</v>
      </c>
      <c r="B23" s="3" t="s">
        <v>57</v>
      </c>
      <c r="C23" s="3" t="n">
        <v>44</v>
      </c>
      <c r="D23" s="6" t="n">
        <f aca="false">ROUND(169.29/C23,2)</f>
        <v>3.85</v>
      </c>
    </row>
    <row r="24" customFormat="false" ht="15" hidden="false" customHeight="false" outlineLevel="0" collapsed="false">
      <c r="A24" s="3" t="s">
        <v>58</v>
      </c>
      <c r="B24" s="3" t="s">
        <v>59</v>
      </c>
      <c r="C24" s="3" t="n">
        <v>450</v>
      </c>
      <c r="D24" s="6" t="n">
        <f aca="false">ROUND(3349.1/C24,2)</f>
        <v>7.44</v>
      </c>
    </row>
    <row r="25" customFormat="false" ht="15" hidden="false" customHeight="false" outlineLevel="0" collapsed="false">
      <c r="A25" s="3" t="s">
        <v>58</v>
      </c>
      <c r="B25" s="3" t="s">
        <v>60</v>
      </c>
      <c r="C25" s="3" t="n">
        <v>312</v>
      </c>
      <c r="D25" s="6" t="n">
        <f aca="false">ROUND(1242.99/C25,2)</f>
        <v>3.98</v>
      </c>
    </row>
    <row r="26" customFormat="false" ht="15" hidden="false" customHeight="false" outlineLevel="0" collapsed="false">
      <c r="A26" s="3" t="s">
        <v>61</v>
      </c>
      <c r="B26" s="3" t="s">
        <v>62</v>
      </c>
      <c r="C26" s="3" t="n">
        <v>1449</v>
      </c>
      <c r="D26" s="6" t="n">
        <f aca="false">ROUND(10370.5699999999/C26,2)</f>
        <v>7.16</v>
      </c>
    </row>
    <row r="27" customFormat="false" ht="15" hidden="false" customHeight="false" outlineLevel="0" collapsed="false">
      <c r="A27" s="3" t="s">
        <v>61</v>
      </c>
      <c r="B27" s="3" t="s">
        <v>63</v>
      </c>
      <c r="C27" s="3" t="n">
        <v>9</v>
      </c>
      <c r="D27" s="6" t="n">
        <f aca="false">ROUND(70.99/C27,2)</f>
        <v>7.89</v>
      </c>
    </row>
    <row r="28" customFormat="false" ht="15" hidden="false" customHeight="false" outlineLevel="0" collapsed="false">
      <c r="A28" s="3" t="s">
        <v>61</v>
      </c>
      <c r="B28" s="3" t="s">
        <v>64</v>
      </c>
      <c r="C28" s="3" t="n">
        <v>93</v>
      </c>
      <c r="D28" s="6" t="n">
        <f aca="false">ROUND(491.69/C28,2)</f>
        <v>5.29</v>
      </c>
    </row>
    <row r="29" customFormat="false" ht="15" hidden="false" customHeight="false" outlineLevel="0" collapsed="false">
      <c r="A29" s="3" t="s">
        <v>65</v>
      </c>
      <c r="B29" s="3" t="s">
        <v>66</v>
      </c>
      <c r="C29" s="3" t="n">
        <v>1382</v>
      </c>
      <c r="D29" s="6" t="n">
        <f aca="false">ROUND(3446.74/C29,2)</f>
        <v>2.49</v>
      </c>
    </row>
    <row r="30" customFormat="false" ht="15" hidden="false" customHeight="false" outlineLevel="0" collapsed="false">
      <c r="A30" s="3" t="s">
        <v>65</v>
      </c>
      <c r="B30" s="3" t="s">
        <v>67</v>
      </c>
      <c r="C30" s="3" t="n">
        <v>63</v>
      </c>
      <c r="D30" s="6" t="n">
        <f aca="false">ROUND(151.73/C30,2)</f>
        <v>2.41</v>
      </c>
    </row>
    <row r="31" customFormat="false" ht="15" hidden="false" customHeight="false" outlineLevel="0" collapsed="false">
      <c r="A31" s="3" t="s">
        <v>65</v>
      </c>
      <c r="B31" s="3" t="s">
        <v>68</v>
      </c>
      <c r="C31" s="3" t="n">
        <v>331</v>
      </c>
      <c r="D31" s="6" t="n">
        <f aca="false">ROUND(2868.18/C31,2)</f>
        <v>8.67</v>
      </c>
    </row>
    <row r="32" customFormat="false" ht="15" hidden="false" customHeight="false" outlineLevel="0" collapsed="false">
      <c r="A32" s="3" t="s">
        <v>65</v>
      </c>
      <c r="B32" s="3" t="s">
        <v>69</v>
      </c>
      <c r="C32" s="3" t="n">
        <v>636</v>
      </c>
      <c r="D32" s="6" t="n">
        <f aca="false">ROUND(1660/C32,2)</f>
        <v>2.61</v>
      </c>
    </row>
    <row r="33" customFormat="false" ht="15" hidden="false" customHeight="false" outlineLevel="0" collapsed="false">
      <c r="A33" s="3" t="s">
        <v>65</v>
      </c>
      <c r="B33" s="3" t="s">
        <v>70</v>
      </c>
      <c r="C33" s="3" t="n">
        <v>434</v>
      </c>
      <c r="D33" s="6" t="n">
        <f aca="false">ROUND(2052.02/C33,2)</f>
        <v>4.73</v>
      </c>
    </row>
    <row r="34" customFormat="false" ht="15" hidden="false" customHeight="false" outlineLevel="0" collapsed="false">
      <c r="A34" s="3" t="s">
        <v>65</v>
      </c>
      <c r="B34" s="3" t="s">
        <v>71</v>
      </c>
      <c r="C34" s="3" t="n">
        <v>602</v>
      </c>
      <c r="D34" s="6" t="n">
        <f aca="false">ROUND(1559.02/C34,2)</f>
        <v>2.59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8"/>
    <col collapsed="false" customWidth="true" hidden="false" outlineLevel="0" max="7" min="4" style="0" width="14"/>
    <col collapsed="false" customWidth="true" hidden="false" outlineLevel="0" max="8" min="8" style="0" width="38"/>
    <col collapsed="false" customWidth="true" hidden="false" outlineLevel="0" max="21" min="9" style="0" width="14"/>
  </cols>
  <sheetData>
    <row r="1" customFormat="false" ht="26.85" hidden="false" customHeight="false" outlineLevel="0" collapsed="false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  <c r="N1" s="5" t="s">
        <v>85</v>
      </c>
      <c r="O1" s="5" t="s">
        <v>86</v>
      </c>
      <c r="P1" s="5" t="s">
        <v>87</v>
      </c>
      <c r="Q1" s="5" t="s">
        <v>88</v>
      </c>
      <c r="R1" s="5" t="s">
        <v>89</v>
      </c>
      <c r="S1" s="5" t="s">
        <v>90</v>
      </c>
      <c r="T1" s="5" t="s">
        <v>91</v>
      </c>
      <c r="U1" s="5" t="s">
        <v>92</v>
      </c>
    </row>
    <row r="2" customFormat="false" ht="15" hidden="false" customHeight="false" outlineLevel="0" collapsed="false">
      <c r="A2" s="3" t="s">
        <v>32</v>
      </c>
      <c r="B2" s="3" t="s">
        <v>33</v>
      </c>
      <c r="C2" s="3" t="s">
        <v>93</v>
      </c>
      <c r="D2" s="3" t="s">
        <v>94</v>
      </c>
      <c r="E2" s="3" t="s">
        <v>95</v>
      </c>
      <c r="F2" s="3" t="s">
        <v>96</v>
      </c>
      <c r="G2" s="3" t="s">
        <v>97</v>
      </c>
      <c r="H2" s="3" t="s">
        <v>98</v>
      </c>
      <c r="I2" s="3" t="s">
        <v>99</v>
      </c>
      <c r="J2" s="3" t="s">
        <v>100</v>
      </c>
      <c r="K2" s="3" t="s">
        <v>101</v>
      </c>
      <c r="L2" s="3" t="s">
        <v>102</v>
      </c>
      <c r="M2" s="3" t="s">
        <v>103</v>
      </c>
      <c r="N2" s="3" t="s">
        <v>104</v>
      </c>
      <c r="O2" s="3"/>
      <c r="P2" s="3" t="s">
        <v>105</v>
      </c>
      <c r="Q2" s="3" t="s">
        <v>106</v>
      </c>
      <c r="R2" s="3" t="s">
        <v>107</v>
      </c>
      <c r="S2" s="3" t="s">
        <v>108</v>
      </c>
      <c r="T2" s="3" t="s">
        <v>109</v>
      </c>
      <c r="U2" s="3" t="s">
        <v>110</v>
      </c>
    </row>
    <row r="3" customFormat="false" ht="15" hidden="false" customHeight="false" outlineLevel="0" collapsed="false">
      <c r="A3" s="3" t="s">
        <v>32</v>
      </c>
      <c r="B3" s="3" t="s">
        <v>33</v>
      </c>
      <c r="C3" s="3" t="s">
        <v>111</v>
      </c>
      <c r="D3" s="3" t="s">
        <v>112</v>
      </c>
      <c r="E3" s="3" t="s">
        <v>113</v>
      </c>
      <c r="F3" s="3" t="s">
        <v>114</v>
      </c>
      <c r="G3" s="3" t="s">
        <v>115</v>
      </c>
      <c r="H3" s="3" t="s">
        <v>116</v>
      </c>
      <c r="I3" s="3" t="s">
        <v>99</v>
      </c>
      <c r="J3" s="3" t="s">
        <v>117</v>
      </c>
      <c r="K3" s="3" t="s">
        <v>101</v>
      </c>
      <c r="L3" s="3" t="s">
        <v>118</v>
      </c>
      <c r="M3" s="3" t="s">
        <v>119</v>
      </c>
      <c r="N3" s="3" t="s">
        <v>120</v>
      </c>
      <c r="O3" s="3" t="s">
        <v>120</v>
      </c>
      <c r="P3" s="3" t="s">
        <v>121</v>
      </c>
      <c r="Q3" s="3" t="s">
        <v>122</v>
      </c>
      <c r="R3" s="3" t="s">
        <v>123</v>
      </c>
      <c r="S3" s="3" t="s">
        <v>124</v>
      </c>
      <c r="T3" s="3" t="s">
        <v>125</v>
      </c>
      <c r="U3" s="3" t="s">
        <v>126</v>
      </c>
    </row>
    <row r="4" customFormat="false" ht="15" hidden="false" customHeight="false" outlineLevel="0" collapsed="false">
      <c r="A4" s="3" t="s">
        <v>32</v>
      </c>
      <c r="B4" s="3" t="s">
        <v>33</v>
      </c>
      <c r="C4" s="3" t="s">
        <v>127</v>
      </c>
      <c r="D4" s="3" t="s">
        <v>112</v>
      </c>
      <c r="E4" s="3" t="s">
        <v>113</v>
      </c>
      <c r="F4" s="3" t="s">
        <v>114</v>
      </c>
      <c r="G4" s="3" t="s">
        <v>128</v>
      </c>
      <c r="H4" s="3" t="s">
        <v>129</v>
      </c>
      <c r="I4" s="3" t="s">
        <v>6</v>
      </c>
      <c r="J4" s="3" t="s">
        <v>130</v>
      </c>
      <c r="K4" s="3" t="s">
        <v>131</v>
      </c>
      <c r="L4" s="3" t="s">
        <v>132</v>
      </c>
      <c r="M4" s="3" t="s">
        <v>133</v>
      </c>
      <c r="N4" s="3" t="s">
        <v>134</v>
      </c>
      <c r="O4" s="3"/>
      <c r="P4" s="3" t="s">
        <v>135</v>
      </c>
      <c r="Q4" s="3" t="s">
        <v>136</v>
      </c>
      <c r="R4" s="3" t="s">
        <v>123</v>
      </c>
      <c r="S4" s="3" t="s">
        <v>137</v>
      </c>
      <c r="T4" s="3" t="s">
        <v>125</v>
      </c>
      <c r="U4" s="3" t="s">
        <v>138</v>
      </c>
    </row>
    <row r="5" customFormat="false" ht="15" hidden="false" customHeight="false" outlineLevel="0" collapsed="false">
      <c r="A5" s="3" t="s">
        <v>32</v>
      </c>
      <c r="B5" s="3" t="s">
        <v>33</v>
      </c>
      <c r="C5" s="3" t="s">
        <v>139</v>
      </c>
      <c r="D5" s="3" t="s">
        <v>112</v>
      </c>
      <c r="E5" s="3" t="s">
        <v>113</v>
      </c>
      <c r="F5" s="3" t="s">
        <v>114</v>
      </c>
      <c r="G5" s="3" t="s">
        <v>140</v>
      </c>
      <c r="H5" s="3" t="s">
        <v>141</v>
      </c>
      <c r="I5" s="3" t="s">
        <v>99</v>
      </c>
      <c r="J5" s="3" t="s">
        <v>117</v>
      </c>
      <c r="K5" s="3" t="s">
        <v>131</v>
      </c>
      <c r="L5" s="3" t="s">
        <v>118</v>
      </c>
      <c r="M5" s="3" t="s">
        <v>119</v>
      </c>
      <c r="N5" s="3" t="s">
        <v>120</v>
      </c>
      <c r="O5" s="3" t="s">
        <v>120</v>
      </c>
      <c r="P5" s="3" t="s">
        <v>121</v>
      </c>
      <c r="Q5" s="3" t="s">
        <v>122</v>
      </c>
      <c r="R5" s="3" t="s">
        <v>142</v>
      </c>
      <c r="S5" s="3" t="s">
        <v>124</v>
      </c>
      <c r="T5" s="3" t="s">
        <v>109</v>
      </c>
      <c r="U5" s="3" t="s">
        <v>126</v>
      </c>
    </row>
    <row r="6" customFormat="false" ht="15" hidden="false" customHeight="false" outlineLevel="0" collapsed="false">
      <c r="A6" s="3" t="s">
        <v>32</v>
      </c>
      <c r="B6" s="3" t="s">
        <v>33</v>
      </c>
      <c r="C6" s="3" t="s">
        <v>143</v>
      </c>
      <c r="D6" s="3" t="s">
        <v>144</v>
      </c>
      <c r="E6" s="3" t="s">
        <v>145</v>
      </c>
      <c r="F6" s="3" t="s">
        <v>146</v>
      </c>
      <c r="G6" s="3" t="s">
        <v>147</v>
      </c>
      <c r="H6" s="3" t="s">
        <v>148</v>
      </c>
      <c r="I6" s="3" t="s">
        <v>99</v>
      </c>
      <c r="J6" s="3" t="s">
        <v>149</v>
      </c>
      <c r="K6" s="3" t="s">
        <v>101</v>
      </c>
      <c r="L6" s="3" t="s">
        <v>150</v>
      </c>
      <c r="M6" s="3" t="s">
        <v>151</v>
      </c>
      <c r="N6" s="3" t="s">
        <v>152</v>
      </c>
      <c r="O6" s="3" t="s">
        <v>152</v>
      </c>
      <c r="P6" s="3" t="s">
        <v>153</v>
      </c>
      <c r="Q6" s="3" t="s">
        <v>154</v>
      </c>
      <c r="R6" s="3" t="s">
        <v>155</v>
      </c>
      <c r="S6" s="3" t="s">
        <v>156</v>
      </c>
      <c r="T6" s="3" t="s">
        <v>157</v>
      </c>
      <c r="U6" s="3" t="s">
        <v>126</v>
      </c>
    </row>
    <row r="7" customFormat="false" ht="15" hidden="false" customHeight="false" outlineLevel="0" collapsed="false">
      <c r="A7" s="3" t="s">
        <v>35</v>
      </c>
      <c r="B7" s="3" t="s">
        <v>36</v>
      </c>
      <c r="C7" s="3" t="s">
        <v>158</v>
      </c>
      <c r="D7" s="3" t="s">
        <v>159</v>
      </c>
      <c r="E7" s="3" t="s">
        <v>160</v>
      </c>
      <c r="F7" s="3" t="s">
        <v>161</v>
      </c>
      <c r="G7" s="3" t="s">
        <v>162</v>
      </c>
      <c r="H7" s="3" t="s">
        <v>163</v>
      </c>
      <c r="I7" s="3" t="s">
        <v>99</v>
      </c>
      <c r="J7" s="3" t="s">
        <v>164</v>
      </c>
      <c r="K7" s="3" t="s">
        <v>165</v>
      </c>
      <c r="L7" s="3" t="s">
        <v>166</v>
      </c>
      <c r="M7" s="3" t="s">
        <v>167</v>
      </c>
      <c r="N7" s="3" t="s">
        <v>168</v>
      </c>
      <c r="O7" s="3"/>
      <c r="P7" s="3" t="s">
        <v>169</v>
      </c>
      <c r="Q7" s="3" t="s">
        <v>170</v>
      </c>
      <c r="R7" s="3" t="s">
        <v>171</v>
      </c>
      <c r="S7" s="3" t="s">
        <v>172</v>
      </c>
      <c r="T7" s="3" t="s">
        <v>109</v>
      </c>
      <c r="U7" s="3" t="s">
        <v>173</v>
      </c>
    </row>
    <row r="8" customFormat="false" ht="15" hidden="false" customHeight="false" outlineLevel="0" collapsed="false">
      <c r="A8" s="3" t="s">
        <v>35</v>
      </c>
      <c r="B8" s="3" t="s">
        <v>36</v>
      </c>
      <c r="C8" s="3" t="s">
        <v>174</v>
      </c>
      <c r="D8" s="3" t="s">
        <v>175</v>
      </c>
      <c r="E8" s="3" t="s">
        <v>176</v>
      </c>
      <c r="F8" s="3" t="s">
        <v>177</v>
      </c>
      <c r="G8" s="3" t="s">
        <v>178</v>
      </c>
      <c r="H8" s="3" t="s">
        <v>179</v>
      </c>
      <c r="I8" s="3" t="s">
        <v>99</v>
      </c>
      <c r="J8" s="3" t="s">
        <v>142</v>
      </c>
      <c r="K8" s="3" t="s">
        <v>180</v>
      </c>
      <c r="L8" s="3" t="s">
        <v>181</v>
      </c>
      <c r="M8" s="3" t="s">
        <v>182</v>
      </c>
      <c r="N8" s="3" t="s">
        <v>183</v>
      </c>
      <c r="O8" s="3" t="s">
        <v>184</v>
      </c>
      <c r="P8" s="3" t="s">
        <v>185</v>
      </c>
      <c r="Q8" s="3" t="s">
        <v>186</v>
      </c>
      <c r="R8" s="3" t="s">
        <v>122</v>
      </c>
      <c r="S8" s="3" t="s">
        <v>187</v>
      </c>
      <c r="T8" s="3"/>
      <c r="U8" s="3"/>
    </row>
    <row r="9" customFormat="false" ht="15" hidden="false" customHeight="false" outlineLevel="0" collapsed="false">
      <c r="A9" s="3" t="s">
        <v>35</v>
      </c>
      <c r="B9" s="3" t="s">
        <v>36</v>
      </c>
      <c r="C9" s="3" t="s">
        <v>188</v>
      </c>
      <c r="D9" s="3" t="s">
        <v>189</v>
      </c>
      <c r="E9" s="3" t="s">
        <v>190</v>
      </c>
      <c r="F9" s="3" t="s">
        <v>191</v>
      </c>
      <c r="G9" s="3" t="s">
        <v>192</v>
      </c>
      <c r="H9" s="3" t="s">
        <v>193</v>
      </c>
      <c r="I9" s="3" t="s">
        <v>99</v>
      </c>
      <c r="J9" s="3" t="s">
        <v>100</v>
      </c>
      <c r="K9" s="3" t="s">
        <v>194</v>
      </c>
      <c r="L9" s="3" t="s">
        <v>195</v>
      </c>
      <c r="M9" s="3" t="s">
        <v>196</v>
      </c>
      <c r="N9" s="3" t="s">
        <v>104</v>
      </c>
      <c r="O9" s="3" t="s">
        <v>197</v>
      </c>
      <c r="P9" s="3" t="s">
        <v>198</v>
      </c>
      <c r="Q9" s="3" t="s">
        <v>199</v>
      </c>
      <c r="R9" s="3" t="s">
        <v>171</v>
      </c>
      <c r="S9" s="3" t="s">
        <v>200</v>
      </c>
      <c r="T9" s="3" t="s">
        <v>157</v>
      </c>
      <c r="U9" s="3" t="s">
        <v>201</v>
      </c>
    </row>
    <row r="10" customFormat="false" ht="15" hidden="false" customHeight="false" outlineLevel="0" collapsed="false">
      <c r="A10" s="3" t="s">
        <v>35</v>
      </c>
      <c r="B10" s="3" t="s">
        <v>36</v>
      </c>
      <c r="C10" s="3" t="s">
        <v>202</v>
      </c>
      <c r="D10" s="3" t="s">
        <v>203</v>
      </c>
      <c r="E10" s="3" t="s">
        <v>204</v>
      </c>
      <c r="F10" s="3" t="s">
        <v>205</v>
      </c>
      <c r="G10" s="3" t="s">
        <v>206</v>
      </c>
      <c r="H10" s="3" t="s">
        <v>207</v>
      </c>
      <c r="I10" s="3" t="s">
        <v>99</v>
      </c>
      <c r="J10" s="3" t="s">
        <v>208</v>
      </c>
      <c r="K10" s="3" t="s">
        <v>209</v>
      </c>
      <c r="L10" s="3" t="s">
        <v>210</v>
      </c>
      <c r="M10" s="3" t="s">
        <v>211</v>
      </c>
      <c r="N10" s="3" t="s">
        <v>212</v>
      </c>
      <c r="O10" s="3"/>
      <c r="P10" s="3" t="s">
        <v>213</v>
      </c>
      <c r="Q10" s="3" t="s">
        <v>214</v>
      </c>
      <c r="R10" s="3" t="s">
        <v>215</v>
      </c>
      <c r="S10" s="3" t="s">
        <v>216</v>
      </c>
      <c r="T10" s="3" t="s">
        <v>217</v>
      </c>
      <c r="U10" s="3"/>
    </row>
    <row r="11" customFormat="false" ht="15" hidden="false" customHeight="false" outlineLevel="0" collapsed="false">
      <c r="A11" s="3" t="s">
        <v>35</v>
      </c>
      <c r="B11" s="3" t="s">
        <v>36</v>
      </c>
      <c r="C11" s="3" t="s">
        <v>218</v>
      </c>
      <c r="D11" s="3" t="s">
        <v>219</v>
      </c>
      <c r="E11" s="3" t="s">
        <v>220</v>
      </c>
      <c r="F11" s="3" t="s">
        <v>221</v>
      </c>
      <c r="G11" s="3" t="s">
        <v>222</v>
      </c>
      <c r="H11" s="3" t="s">
        <v>223</v>
      </c>
      <c r="I11" s="3" t="s">
        <v>99</v>
      </c>
      <c r="J11" s="3" t="s">
        <v>224</v>
      </c>
      <c r="K11" s="3" t="s">
        <v>209</v>
      </c>
      <c r="L11" s="3" t="s">
        <v>225</v>
      </c>
      <c r="M11" s="3" t="s">
        <v>226</v>
      </c>
      <c r="N11" s="3" t="s">
        <v>227</v>
      </c>
      <c r="O11" s="3" t="s">
        <v>228</v>
      </c>
      <c r="P11" s="3" t="s">
        <v>229</v>
      </c>
      <c r="Q11" s="3" t="s">
        <v>170</v>
      </c>
      <c r="R11" s="3" t="s">
        <v>171</v>
      </c>
      <c r="S11" s="3" t="s">
        <v>230</v>
      </c>
      <c r="T11" s="3" t="s">
        <v>157</v>
      </c>
      <c r="U11" s="3" t="s">
        <v>231</v>
      </c>
    </row>
    <row r="12" customFormat="false" ht="15" hidden="false" customHeight="false" outlineLevel="0" collapsed="false">
      <c r="A12" s="3" t="s">
        <v>37</v>
      </c>
      <c r="B12" s="3" t="s">
        <v>39</v>
      </c>
      <c r="C12" s="3" t="s">
        <v>232</v>
      </c>
      <c r="D12" s="3" t="s">
        <v>233</v>
      </c>
      <c r="E12" s="3" t="s">
        <v>113</v>
      </c>
      <c r="F12" s="3" t="s">
        <v>234</v>
      </c>
      <c r="G12" s="3" t="s">
        <v>235</v>
      </c>
      <c r="H12" s="3" t="s">
        <v>236</v>
      </c>
      <c r="I12" s="3" t="s">
        <v>99</v>
      </c>
      <c r="J12" s="3" t="s">
        <v>237</v>
      </c>
      <c r="K12" s="3" t="s">
        <v>238</v>
      </c>
      <c r="L12" s="3" t="s">
        <v>239</v>
      </c>
      <c r="M12" s="3" t="s">
        <v>109</v>
      </c>
      <c r="N12" s="3" t="s">
        <v>109</v>
      </c>
      <c r="O12" s="3" t="s">
        <v>109</v>
      </c>
      <c r="P12" s="3" t="s">
        <v>240</v>
      </c>
      <c r="Q12" s="3" t="s">
        <v>109</v>
      </c>
      <c r="R12" s="3" t="s">
        <v>109</v>
      </c>
      <c r="S12" s="3" t="s">
        <v>109</v>
      </c>
      <c r="T12" s="3" t="s">
        <v>109</v>
      </c>
      <c r="U12" s="3" t="s">
        <v>126</v>
      </c>
    </row>
    <row r="13" customFormat="false" ht="15" hidden="false" customHeight="false" outlineLevel="0" collapsed="false">
      <c r="A13" s="3" t="s">
        <v>37</v>
      </c>
      <c r="B13" s="3" t="s">
        <v>39</v>
      </c>
      <c r="C13" s="3" t="s">
        <v>241</v>
      </c>
      <c r="D13" s="3" t="s">
        <v>242</v>
      </c>
      <c r="E13" s="3" t="s">
        <v>113</v>
      </c>
      <c r="F13" s="3" t="s">
        <v>243</v>
      </c>
      <c r="G13" s="3" t="s">
        <v>244</v>
      </c>
      <c r="H13" s="3" t="s">
        <v>245</v>
      </c>
      <c r="I13" s="3" t="s">
        <v>99</v>
      </c>
      <c r="J13" s="3" t="s">
        <v>237</v>
      </c>
      <c r="K13" s="3" t="s">
        <v>238</v>
      </c>
      <c r="L13" s="3" t="s">
        <v>246</v>
      </c>
      <c r="M13" s="3" t="s">
        <v>109</v>
      </c>
      <c r="N13" s="3" t="s">
        <v>109</v>
      </c>
      <c r="O13" s="3" t="s">
        <v>109</v>
      </c>
      <c r="P13" s="3" t="s">
        <v>240</v>
      </c>
      <c r="Q13" s="3" t="s">
        <v>211</v>
      </c>
      <c r="R13" s="3" t="s">
        <v>247</v>
      </c>
      <c r="S13" s="3" t="s">
        <v>109</v>
      </c>
      <c r="T13" s="3" t="s">
        <v>109</v>
      </c>
      <c r="U13" s="3" t="s">
        <v>248</v>
      </c>
    </row>
    <row r="14" customFormat="false" ht="15" hidden="false" customHeight="false" outlineLevel="0" collapsed="false">
      <c r="A14" s="3" t="s">
        <v>37</v>
      </c>
      <c r="B14" s="3" t="s">
        <v>39</v>
      </c>
      <c r="C14" s="3" t="s">
        <v>249</v>
      </c>
      <c r="D14" s="3" t="s">
        <v>250</v>
      </c>
      <c r="E14" s="3" t="s">
        <v>251</v>
      </c>
      <c r="F14" s="3" t="s">
        <v>252</v>
      </c>
      <c r="G14" s="3" t="s">
        <v>253</v>
      </c>
      <c r="H14" s="3" t="s">
        <v>254</v>
      </c>
      <c r="I14" s="3" t="s">
        <v>99</v>
      </c>
      <c r="J14" s="3" t="s">
        <v>237</v>
      </c>
      <c r="K14" s="3" t="s">
        <v>238</v>
      </c>
      <c r="L14" s="3" t="s">
        <v>255</v>
      </c>
      <c r="M14" s="3" t="s">
        <v>109</v>
      </c>
      <c r="N14" s="3"/>
      <c r="O14" s="3"/>
      <c r="P14" s="3" t="s">
        <v>109</v>
      </c>
      <c r="Q14" s="3" t="s">
        <v>256</v>
      </c>
      <c r="R14" s="3" t="s">
        <v>257</v>
      </c>
      <c r="S14" s="3"/>
      <c r="T14" s="3"/>
      <c r="U14" s="3" t="s">
        <v>258</v>
      </c>
    </row>
    <row r="15" customFormat="false" ht="15" hidden="false" customHeight="false" outlineLevel="0" collapsed="false">
      <c r="A15" s="3" t="s">
        <v>37</v>
      </c>
      <c r="B15" s="3" t="s">
        <v>39</v>
      </c>
      <c r="C15" s="3" t="s">
        <v>259</v>
      </c>
      <c r="D15" s="3" t="s">
        <v>250</v>
      </c>
      <c r="E15" s="3" t="s">
        <v>260</v>
      </c>
      <c r="F15" s="3" t="s">
        <v>261</v>
      </c>
      <c r="G15" s="3" t="s">
        <v>262</v>
      </c>
      <c r="H15" s="3" t="s">
        <v>263</v>
      </c>
      <c r="I15" s="3" t="s">
        <v>99</v>
      </c>
      <c r="J15" s="3" t="s">
        <v>237</v>
      </c>
      <c r="K15" s="3" t="s">
        <v>238</v>
      </c>
      <c r="L15" s="3" t="s">
        <v>246</v>
      </c>
      <c r="M15" s="3" t="s">
        <v>109</v>
      </c>
      <c r="N15" s="3"/>
      <c r="O15" s="3"/>
      <c r="P15" s="3" t="s">
        <v>240</v>
      </c>
      <c r="Q15" s="3" t="s">
        <v>211</v>
      </c>
      <c r="R15" s="3" t="s">
        <v>247</v>
      </c>
      <c r="S15" s="3"/>
      <c r="T15" s="3" t="s">
        <v>109</v>
      </c>
      <c r="U15" s="3" t="s">
        <v>264</v>
      </c>
    </row>
    <row r="16" customFormat="false" ht="15" hidden="false" customHeight="false" outlineLevel="0" collapsed="false">
      <c r="A16" s="3" t="s">
        <v>37</v>
      </c>
      <c r="B16" s="3" t="s">
        <v>39</v>
      </c>
      <c r="C16" s="3" t="s">
        <v>265</v>
      </c>
      <c r="D16" s="3" t="s">
        <v>266</v>
      </c>
      <c r="E16" s="3" t="s">
        <v>113</v>
      </c>
      <c r="F16" s="3" t="s">
        <v>267</v>
      </c>
      <c r="G16" s="3" t="s">
        <v>268</v>
      </c>
      <c r="H16" s="3" t="s">
        <v>254</v>
      </c>
      <c r="I16" s="3" t="s">
        <v>99</v>
      </c>
      <c r="J16" s="3" t="s">
        <v>237</v>
      </c>
      <c r="K16" s="3" t="s">
        <v>238</v>
      </c>
      <c r="L16" s="3" t="s">
        <v>246</v>
      </c>
      <c r="M16" s="3" t="s">
        <v>109</v>
      </c>
      <c r="N16" s="3"/>
      <c r="O16" s="3"/>
      <c r="P16" s="3" t="s">
        <v>109</v>
      </c>
      <c r="Q16" s="3" t="s">
        <v>256</v>
      </c>
      <c r="R16" s="3" t="s">
        <v>257</v>
      </c>
      <c r="S16" s="3"/>
      <c r="T16" s="3"/>
      <c r="U16" s="3" t="s">
        <v>269</v>
      </c>
    </row>
    <row r="17" customFormat="false" ht="15" hidden="false" customHeight="false" outlineLevel="0" collapsed="false">
      <c r="A17" s="3" t="s">
        <v>46</v>
      </c>
      <c r="B17" s="3" t="s">
        <v>47</v>
      </c>
      <c r="C17" s="3" t="s">
        <v>270</v>
      </c>
      <c r="D17" s="3" t="s">
        <v>271</v>
      </c>
      <c r="E17" s="3" t="s">
        <v>272</v>
      </c>
      <c r="F17" s="3" t="s">
        <v>273</v>
      </c>
      <c r="G17" s="3" t="s">
        <v>274</v>
      </c>
      <c r="H17" s="3" t="s">
        <v>275</v>
      </c>
      <c r="I17" s="3" t="s">
        <v>99</v>
      </c>
      <c r="J17" s="3" t="s">
        <v>276</v>
      </c>
      <c r="K17" s="3" t="s">
        <v>277</v>
      </c>
      <c r="L17" s="3" t="s">
        <v>278</v>
      </c>
      <c r="M17" s="3" t="s">
        <v>279</v>
      </c>
      <c r="N17" s="3" t="s">
        <v>280</v>
      </c>
      <c r="O17" s="3" t="s">
        <v>281</v>
      </c>
      <c r="P17" s="3" t="s">
        <v>282</v>
      </c>
      <c r="Q17" s="3" t="s">
        <v>283</v>
      </c>
      <c r="R17" s="3" t="s">
        <v>256</v>
      </c>
      <c r="S17" s="3" t="s">
        <v>284</v>
      </c>
      <c r="T17" s="3" t="s">
        <v>285</v>
      </c>
      <c r="U17" s="3" t="s">
        <v>286</v>
      </c>
    </row>
    <row r="18" customFormat="false" ht="15" hidden="false" customHeight="false" outlineLevel="0" collapsed="false">
      <c r="A18" s="3" t="s">
        <v>46</v>
      </c>
      <c r="B18" s="3" t="s">
        <v>47</v>
      </c>
      <c r="C18" s="3" t="s">
        <v>287</v>
      </c>
      <c r="D18" s="3" t="s">
        <v>288</v>
      </c>
      <c r="E18" s="3" t="s">
        <v>289</v>
      </c>
      <c r="F18" s="3" t="s">
        <v>290</v>
      </c>
      <c r="G18" s="3" t="s">
        <v>291</v>
      </c>
      <c r="H18" s="3" t="s">
        <v>292</v>
      </c>
      <c r="I18" s="3" t="s">
        <v>99</v>
      </c>
      <c r="J18" s="3" t="s">
        <v>106</v>
      </c>
      <c r="K18" s="3" t="s">
        <v>293</v>
      </c>
      <c r="L18" s="3" t="s">
        <v>294</v>
      </c>
      <c r="M18" s="3" t="s">
        <v>295</v>
      </c>
      <c r="N18" s="3" t="s">
        <v>296</v>
      </c>
      <c r="O18" s="3"/>
      <c r="P18" s="3" t="s">
        <v>154</v>
      </c>
      <c r="Q18" s="3" t="s">
        <v>297</v>
      </c>
      <c r="R18" s="3" t="s">
        <v>298</v>
      </c>
      <c r="S18" s="3" t="s">
        <v>299</v>
      </c>
      <c r="T18" s="3" t="s">
        <v>183</v>
      </c>
      <c r="U18" s="3" t="s">
        <v>248</v>
      </c>
    </row>
    <row r="19" customFormat="false" ht="15" hidden="false" customHeight="false" outlineLevel="0" collapsed="false">
      <c r="A19" s="3" t="s">
        <v>46</v>
      </c>
      <c r="B19" s="3" t="s">
        <v>47</v>
      </c>
      <c r="C19" s="3" t="s">
        <v>300</v>
      </c>
      <c r="D19" s="3" t="s">
        <v>301</v>
      </c>
      <c r="E19" s="3" t="s">
        <v>113</v>
      </c>
      <c r="F19" s="3" t="s">
        <v>302</v>
      </c>
      <c r="G19" s="3" t="s">
        <v>303</v>
      </c>
      <c r="H19" s="3" t="s">
        <v>304</v>
      </c>
      <c r="I19" s="3" t="s">
        <v>99</v>
      </c>
      <c r="J19" s="3" t="s">
        <v>106</v>
      </c>
      <c r="K19" s="3" t="s">
        <v>305</v>
      </c>
      <c r="L19" s="3" t="s">
        <v>306</v>
      </c>
      <c r="M19" s="3" t="s">
        <v>307</v>
      </c>
      <c r="N19" s="3" t="s">
        <v>308</v>
      </c>
      <c r="O19" s="3"/>
      <c r="P19" s="3" t="s">
        <v>309</v>
      </c>
      <c r="Q19" s="3" t="s">
        <v>297</v>
      </c>
      <c r="R19" s="3" t="s">
        <v>298</v>
      </c>
      <c r="S19" s="3"/>
      <c r="T19" s="3" t="s">
        <v>310</v>
      </c>
      <c r="U19" s="3" t="s">
        <v>264</v>
      </c>
    </row>
    <row r="20" customFormat="false" ht="15" hidden="false" customHeight="false" outlineLevel="0" collapsed="false">
      <c r="A20" s="3" t="s">
        <v>46</v>
      </c>
      <c r="B20" s="3" t="s">
        <v>47</v>
      </c>
      <c r="C20" s="3" t="s">
        <v>311</v>
      </c>
      <c r="D20" s="3" t="s">
        <v>288</v>
      </c>
      <c r="E20" s="3" t="s">
        <v>289</v>
      </c>
      <c r="F20" s="3" t="s">
        <v>290</v>
      </c>
      <c r="G20" s="3" t="s">
        <v>312</v>
      </c>
      <c r="H20" s="3" t="s">
        <v>313</v>
      </c>
      <c r="I20" s="3" t="s">
        <v>99</v>
      </c>
      <c r="J20" s="3" t="s">
        <v>314</v>
      </c>
      <c r="K20" s="3" t="s">
        <v>293</v>
      </c>
      <c r="L20" s="3" t="s">
        <v>315</v>
      </c>
      <c r="M20" s="3" t="s">
        <v>316</v>
      </c>
      <c r="N20" s="3" t="s">
        <v>310</v>
      </c>
      <c r="O20" s="3"/>
      <c r="P20" s="3" t="s">
        <v>317</v>
      </c>
      <c r="Q20" s="3" t="s">
        <v>297</v>
      </c>
      <c r="R20" s="3" t="s">
        <v>298</v>
      </c>
      <c r="S20" s="3" t="s">
        <v>318</v>
      </c>
      <c r="T20" s="3" t="s">
        <v>319</v>
      </c>
      <c r="U20" s="3" t="s">
        <v>248</v>
      </c>
    </row>
    <row r="21" customFormat="false" ht="15" hidden="false" customHeight="false" outlineLevel="0" collapsed="false">
      <c r="A21" s="3" t="s">
        <v>46</v>
      </c>
      <c r="B21" s="3" t="s">
        <v>47</v>
      </c>
      <c r="C21" s="3" t="s">
        <v>320</v>
      </c>
      <c r="D21" s="3" t="s">
        <v>321</v>
      </c>
      <c r="E21" s="3" t="s">
        <v>322</v>
      </c>
      <c r="F21" s="3" t="s">
        <v>323</v>
      </c>
      <c r="G21" s="3" t="s">
        <v>324</v>
      </c>
      <c r="H21" s="3" t="s">
        <v>325</v>
      </c>
      <c r="I21" s="3" t="s">
        <v>99</v>
      </c>
      <c r="J21" s="3" t="s">
        <v>326</v>
      </c>
      <c r="K21" s="3" t="s">
        <v>305</v>
      </c>
      <c r="L21" s="3" t="s">
        <v>327</v>
      </c>
      <c r="M21" s="3" t="s">
        <v>328</v>
      </c>
      <c r="N21" s="3" t="s">
        <v>109</v>
      </c>
      <c r="O21" s="3" t="s">
        <v>329</v>
      </c>
      <c r="P21" s="3" t="s">
        <v>330</v>
      </c>
      <c r="Q21" s="3" t="s">
        <v>331</v>
      </c>
      <c r="R21" s="3" t="s">
        <v>212</v>
      </c>
      <c r="S21" s="3" t="s">
        <v>332</v>
      </c>
      <c r="T21" s="3" t="s">
        <v>109</v>
      </c>
      <c r="U21" s="3" t="s">
        <v>333</v>
      </c>
    </row>
    <row r="22" customFormat="false" ht="15" hidden="false" customHeight="false" outlineLevel="0" collapsed="false">
      <c r="A22" s="3" t="s">
        <v>49</v>
      </c>
      <c r="B22" s="3" t="s">
        <v>50</v>
      </c>
      <c r="C22" s="3" t="s">
        <v>334</v>
      </c>
      <c r="D22" s="3" t="s">
        <v>335</v>
      </c>
      <c r="E22" s="3" t="s">
        <v>336</v>
      </c>
      <c r="F22" s="3" t="s">
        <v>337</v>
      </c>
      <c r="G22" s="3" t="s">
        <v>338</v>
      </c>
      <c r="H22" s="3" t="s">
        <v>339</v>
      </c>
      <c r="I22" s="3" t="s">
        <v>6</v>
      </c>
      <c r="J22" s="3" t="s">
        <v>340</v>
      </c>
      <c r="K22" s="3" t="s">
        <v>341</v>
      </c>
      <c r="L22" s="3" t="s">
        <v>342</v>
      </c>
      <c r="M22" s="3" t="s">
        <v>343</v>
      </c>
      <c r="N22" s="3" t="s">
        <v>344</v>
      </c>
      <c r="O22" s="3"/>
      <c r="P22" s="3" t="s">
        <v>345</v>
      </c>
      <c r="Q22" s="3" t="s">
        <v>346</v>
      </c>
      <c r="R22" s="3" t="s">
        <v>347</v>
      </c>
      <c r="S22" s="3" t="s">
        <v>348</v>
      </c>
      <c r="T22" s="3" t="s">
        <v>228</v>
      </c>
      <c r="U22" s="3" t="s">
        <v>138</v>
      </c>
    </row>
    <row r="23" customFormat="false" ht="15" hidden="false" customHeight="false" outlineLevel="0" collapsed="false">
      <c r="A23" s="3" t="s">
        <v>49</v>
      </c>
      <c r="B23" s="3" t="s">
        <v>50</v>
      </c>
      <c r="C23" s="3" t="s">
        <v>349</v>
      </c>
      <c r="D23" s="3" t="s">
        <v>350</v>
      </c>
      <c r="E23" s="3" t="s">
        <v>351</v>
      </c>
      <c r="F23" s="3"/>
      <c r="G23" s="3" t="s">
        <v>352</v>
      </c>
      <c r="H23" s="3" t="s">
        <v>353</v>
      </c>
      <c r="I23" s="3" t="s">
        <v>354</v>
      </c>
      <c r="J23" s="3" t="s">
        <v>340</v>
      </c>
      <c r="K23" s="3" t="s">
        <v>341</v>
      </c>
      <c r="L23" s="3" t="s">
        <v>355</v>
      </c>
      <c r="M23" s="3" t="s">
        <v>356</v>
      </c>
      <c r="N23" s="3" t="s">
        <v>357</v>
      </c>
      <c r="O23" s="3"/>
      <c r="P23" s="3" t="s">
        <v>109</v>
      </c>
      <c r="Q23" s="3" t="s">
        <v>358</v>
      </c>
      <c r="R23" s="3" t="s">
        <v>359</v>
      </c>
      <c r="S23" s="3" t="s">
        <v>360</v>
      </c>
      <c r="T23" s="3" t="s">
        <v>361</v>
      </c>
      <c r="U23" s="3" t="s">
        <v>138</v>
      </c>
    </row>
    <row r="24" customFormat="false" ht="15" hidden="false" customHeight="false" outlineLevel="0" collapsed="false">
      <c r="A24" s="3" t="s">
        <v>49</v>
      </c>
      <c r="B24" s="3" t="s">
        <v>50</v>
      </c>
      <c r="C24" s="3" t="s">
        <v>362</v>
      </c>
      <c r="D24" s="3" t="s">
        <v>363</v>
      </c>
      <c r="E24" s="3" t="s">
        <v>364</v>
      </c>
      <c r="F24" s="3" t="s">
        <v>365</v>
      </c>
      <c r="G24" s="3" t="s">
        <v>366</v>
      </c>
      <c r="H24" s="3" t="s">
        <v>367</v>
      </c>
      <c r="I24" s="3" t="s">
        <v>354</v>
      </c>
      <c r="J24" s="3" t="s">
        <v>340</v>
      </c>
      <c r="K24" s="3" t="s">
        <v>341</v>
      </c>
      <c r="L24" s="3" t="s">
        <v>368</v>
      </c>
      <c r="M24" s="3" t="s">
        <v>369</v>
      </c>
      <c r="N24" s="3" t="s">
        <v>310</v>
      </c>
      <c r="O24" s="3"/>
      <c r="P24" s="3" t="s">
        <v>117</v>
      </c>
      <c r="Q24" s="3" t="s">
        <v>370</v>
      </c>
      <c r="R24" s="3" t="s">
        <v>371</v>
      </c>
      <c r="S24" s="3" t="s">
        <v>372</v>
      </c>
      <c r="T24" s="3" t="s">
        <v>373</v>
      </c>
      <c r="U24" s="3" t="s">
        <v>138</v>
      </c>
    </row>
    <row r="25" customFormat="false" ht="15" hidden="false" customHeight="false" outlineLevel="0" collapsed="false">
      <c r="A25" s="3" t="s">
        <v>49</v>
      </c>
      <c r="B25" s="3" t="s">
        <v>50</v>
      </c>
      <c r="C25" s="3" t="s">
        <v>374</v>
      </c>
      <c r="D25" s="3" t="s">
        <v>375</v>
      </c>
      <c r="E25" s="3" t="s">
        <v>289</v>
      </c>
      <c r="F25" s="3" t="s">
        <v>376</v>
      </c>
      <c r="G25" s="3" t="s">
        <v>377</v>
      </c>
      <c r="H25" s="3" t="s">
        <v>378</v>
      </c>
      <c r="I25" s="3" t="s">
        <v>6</v>
      </c>
      <c r="J25" s="3" t="s">
        <v>340</v>
      </c>
      <c r="K25" s="3" t="s">
        <v>341</v>
      </c>
      <c r="L25" s="3" t="s">
        <v>379</v>
      </c>
      <c r="M25" s="3" t="s">
        <v>109</v>
      </c>
      <c r="N25" s="3" t="s">
        <v>157</v>
      </c>
      <c r="O25" s="3"/>
      <c r="P25" s="3" t="s">
        <v>109</v>
      </c>
      <c r="Q25" s="3" t="s">
        <v>380</v>
      </c>
      <c r="R25" s="3" t="s">
        <v>345</v>
      </c>
      <c r="S25" s="3" t="s">
        <v>381</v>
      </c>
      <c r="T25" s="3" t="s">
        <v>257</v>
      </c>
      <c r="U25" s="3" t="s">
        <v>138</v>
      </c>
    </row>
    <row r="26" customFormat="false" ht="15" hidden="false" customHeight="false" outlineLevel="0" collapsed="false">
      <c r="A26" s="3" t="s">
        <v>49</v>
      </c>
      <c r="B26" s="3" t="s">
        <v>50</v>
      </c>
      <c r="C26" s="3" t="s">
        <v>382</v>
      </c>
      <c r="D26" s="3" t="s">
        <v>383</v>
      </c>
      <c r="E26" s="3" t="s">
        <v>113</v>
      </c>
      <c r="F26" s="3" t="s">
        <v>384</v>
      </c>
      <c r="G26" s="3" t="s">
        <v>385</v>
      </c>
      <c r="H26" s="3" t="s">
        <v>386</v>
      </c>
      <c r="I26" s="3" t="s">
        <v>6</v>
      </c>
      <c r="J26" s="3" t="s">
        <v>340</v>
      </c>
      <c r="K26" s="3" t="s">
        <v>341</v>
      </c>
      <c r="L26" s="3" t="s">
        <v>387</v>
      </c>
      <c r="M26" s="3" t="s">
        <v>125</v>
      </c>
      <c r="N26" s="3" t="s">
        <v>388</v>
      </c>
      <c r="O26" s="3"/>
      <c r="P26" s="3" t="s">
        <v>247</v>
      </c>
      <c r="Q26" s="3" t="s">
        <v>389</v>
      </c>
      <c r="R26" s="3" t="s">
        <v>212</v>
      </c>
      <c r="S26" s="3" t="s">
        <v>125</v>
      </c>
      <c r="T26" s="3" t="s">
        <v>390</v>
      </c>
      <c r="U26" s="3" t="s">
        <v>138</v>
      </c>
    </row>
    <row r="27" customFormat="false" ht="15" hidden="false" customHeight="false" outlineLevel="0" collapsed="false">
      <c r="A27" s="3" t="s">
        <v>58</v>
      </c>
      <c r="B27" s="3" t="s">
        <v>59</v>
      </c>
      <c r="C27" s="3" t="s">
        <v>391</v>
      </c>
      <c r="D27" s="3" t="s">
        <v>133</v>
      </c>
      <c r="E27" s="3" t="s">
        <v>392</v>
      </c>
      <c r="F27" s="3" t="s">
        <v>393</v>
      </c>
      <c r="G27" s="3" t="s">
        <v>394</v>
      </c>
      <c r="H27" s="3" t="s">
        <v>395</v>
      </c>
      <c r="I27" s="3" t="s">
        <v>99</v>
      </c>
      <c r="J27" s="3" t="s">
        <v>396</v>
      </c>
      <c r="K27" s="3" t="s">
        <v>397</v>
      </c>
      <c r="L27" s="3" t="s">
        <v>398</v>
      </c>
      <c r="M27" s="3" t="s">
        <v>399</v>
      </c>
      <c r="N27" s="3" t="s">
        <v>400</v>
      </c>
      <c r="O27" s="3" t="s">
        <v>109</v>
      </c>
      <c r="P27" s="3" t="s">
        <v>401</v>
      </c>
      <c r="Q27" s="3" t="s">
        <v>402</v>
      </c>
      <c r="R27" s="3" t="s">
        <v>403</v>
      </c>
      <c r="S27" s="3" t="s">
        <v>404</v>
      </c>
      <c r="T27" s="3" t="s">
        <v>109</v>
      </c>
      <c r="U27" s="3" t="s">
        <v>405</v>
      </c>
    </row>
    <row r="28" customFormat="false" ht="15" hidden="false" customHeight="false" outlineLevel="0" collapsed="false">
      <c r="A28" s="3" t="s">
        <v>58</v>
      </c>
      <c r="B28" s="3" t="s">
        <v>59</v>
      </c>
      <c r="C28" s="3" t="s">
        <v>406</v>
      </c>
      <c r="D28" s="3" t="s">
        <v>407</v>
      </c>
      <c r="E28" s="3" t="s">
        <v>408</v>
      </c>
      <c r="F28" s="3" t="s">
        <v>409</v>
      </c>
      <c r="G28" s="3" t="s">
        <v>410</v>
      </c>
      <c r="H28" s="3" t="s">
        <v>411</v>
      </c>
      <c r="I28" s="3" t="s">
        <v>99</v>
      </c>
      <c r="J28" s="3" t="s">
        <v>412</v>
      </c>
      <c r="K28" s="3" t="s">
        <v>413</v>
      </c>
      <c r="L28" s="3" t="s">
        <v>414</v>
      </c>
      <c r="M28" s="3" t="s">
        <v>415</v>
      </c>
      <c r="N28" s="3"/>
      <c r="O28" s="3"/>
      <c r="P28" s="3" t="s">
        <v>416</v>
      </c>
      <c r="Q28" s="3" t="s">
        <v>417</v>
      </c>
      <c r="R28" s="3" t="s">
        <v>256</v>
      </c>
      <c r="S28" s="3" t="s">
        <v>418</v>
      </c>
      <c r="T28" s="3" t="s">
        <v>109</v>
      </c>
      <c r="U28" s="3" t="s">
        <v>419</v>
      </c>
    </row>
    <row r="29" customFormat="false" ht="15" hidden="false" customHeight="false" outlineLevel="0" collapsed="false">
      <c r="A29" s="3" t="s">
        <v>58</v>
      </c>
      <c r="B29" s="3" t="s">
        <v>59</v>
      </c>
      <c r="C29" s="3" t="s">
        <v>420</v>
      </c>
      <c r="D29" s="3" t="s">
        <v>421</v>
      </c>
      <c r="E29" s="3" t="s">
        <v>422</v>
      </c>
      <c r="F29" s="3" t="s">
        <v>423</v>
      </c>
      <c r="G29" s="3" t="s">
        <v>424</v>
      </c>
      <c r="H29" s="3" t="s">
        <v>425</v>
      </c>
      <c r="I29" s="3" t="s">
        <v>99</v>
      </c>
      <c r="J29" s="3" t="s">
        <v>426</v>
      </c>
      <c r="K29" s="3" t="s">
        <v>427</v>
      </c>
      <c r="L29" s="3" t="s">
        <v>428</v>
      </c>
      <c r="M29" s="3" t="s">
        <v>429</v>
      </c>
      <c r="N29" s="3" t="s">
        <v>430</v>
      </c>
      <c r="O29" s="3" t="s">
        <v>109</v>
      </c>
      <c r="P29" s="3" t="s">
        <v>431</v>
      </c>
      <c r="Q29" s="3" t="s">
        <v>432</v>
      </c>
      <c r="R29" s="3" t="s">
        <v>433</v>
      </c>
      <c r="S29" s="3" t="s">
        <v>434</v>
      </c>
      <c r="T29" s="3" t="s">
        <v>109</v>
      </c>
      <c r="U29" s="3" t="s">
        <v>333</v>
      </c>
    </row>
    <row r="30" customFormat="false" ht="15" hidden="false" customHeight="false" outlineLevel="0" collapsed="false">
      <c r="A30" s="3" t="s">
        <v>58</v>
      </c>
      <c r="B30" s="3" t="s">
        <v>59</v>
      </c>
      <c r="C30" s="3" t="s">
        <v>435</v>
      </c>
      <c r="D30" s="3" t="s">
        <v>436</v>
      </c>
      <c r="E30" s="3" t="s">
        <v>113</v>
      </c>
      <c r="F30" s="3" t="s">
        <v>437</v>
      </c>
      <c r="G30" s="3" t="s">
        <v>438</v>
      </c>
      <c r="H30" s="3" t="s">
        <v>439</v>
      </c>
      <c r="I30" s="3" t="s">
        <v>99</v>
      </c>
      <c r="J30" s="3" t="s">
        <v>440</v>
      </c>
      <c r="K30" s="3" t="s">
        <v>441</v>
      </c>
      <c r="L30" s="3" t="s">
        <v>442</v>
      </c>
      <c r="M30" s="3" t="s">
        <v>443</v>
      </c>
      <c r="N30" s="3" t="s">
        <v>444</v>
      </c>
      <c r="O30" s="3" t="s">
        <v>109</v>
      </c>
      <c r="P30" s="3" t="s">
        <v>445</v>
      </c>
      <c r="Q30" s="3" t="s">
        <v>446</v>
      </c>
      <c r="R30" s="3" t="s">
        <v>447</v>
      </c>
      <c r="S30" s="3" t="s">
        <v>448</v>
      </c>
      <c r="T30" s="3" t="s">
        <v>109</v>
      </c>
      <c r="U30" s="3" t="s">
        <v>449</v>
      </c>
    </row>
    <row r="31" customFormat="false" ht="15" hidden="false" customHeight="false" outlineLevel="0" collapsed="false">
      <c r="A31" s="3" t="s">
        <v>58</v>
      </c>
      <c r="B31" s="3" t="s">
        <v>59</v>
      </c>
      <c r="C31" s="3" t="s">
        <v>450</v>
      </c>
      <c r="D31" s="3" t="s">
        <v>451</v>
      </c>
      <c r="E31" s="3" t="s">
        <v>452</v>
      </c>
      <c r="F31" s="3" t="s">
        <v>453</v>
      </c>
      <c r="G31" s="3" t="s">
        <v>454</v>
      </c>
      <c r="H31" s="3" t="s">
        <v>455</v>
      </c>
      <c r="I31" s="3" t="s">
        <v>99</v>
      </c>
      <c r="J31" s="3" t="s">
        <v>456</v>
      </c>
      <c r="K31" s="3" t="s">
        <v>457</v>
      </c>
      <c r="L31" s="3"/>
      <c r="M31" s="3" t="s">
        <v>458</v>
      </c>
      <c r="N31" s="3" t="s">
        <v>459</v>
      </c>
      <c r="O31" s="3"/>
      <c r="P31" s="3" t="s">
        <v>199</v>
      </c>
      <c r="Q31" s="3" t="s">
        <v>460</v>
      </c>
      <c r="R31" s="3" t="s">
        <v>342</v>
      </c>
      <c r="S31" s="3" t="s">
        <v>461</v>
      </c>
      <c r="T31" s="3" t="s">
        <v>430</v>
      </c>
      <c r="U31" s="3" t="s">
        <v>462</v>
      </c>
    </row>
    <row r="32" customFormat="false" ht="15" hidden="false" customHeight="false" outlineLevel="0" collapsed="false">
      <c r="A32" s="3" t="s">
        <v>61</v>
      </c>
      <c r="B32" s="3" t="s">
        <v>62</v>
      </c>
      <c r="C32" s="3" t="s">
        <v>463</v>
      </c>
      <c r="D32" s="3" t="s">
        <v>464</v>
      </c>
      <c r="E32" s="3" t="s">
        <v>260</v>
      </c>
      <c r="F32" s="3" t="s">
        <v>465</v>
      </c>
      <c r="G32" s="3" t="s">
        <v>466</v>
      </c>
      <c r="H32" s="3" t="s">
        <v>467</v>
      </c>
      <c r="I32" s="3" t="s">
        <v>354</v>
      </c>
      <c r="J32" s="3" t="s">
        <v>468</v>
      </c>
      <c r="K32" s="3" t="s">
        <v>469</v>
      </c>
      <c r="L32" s="3" t="s">
        <v>470</v>
      </c>
      <c r="M32" s="3" t="s">
        <v>471</v>
      </c>
      <c r="N32" s="3"/>
      <c r="O32" s="3"/>
      <c r="P32" s="3" t="s">
        <v>472</v>
      </c>
      <c r="Q32" s="3" t="s">
        <v>473</v>
      </c>
      <c r="R32" s="3" t="s">
        <v>474</v>
      </c>
      <c r="S32" s="3" t="s">
        <v>475</v>
      </c>
      <c r="T32" s="3"/>
      <c r="U32" s="3" t="s">
        <v>138</v>
      </c>
    </row>
    <row r="33" customFormat="false" ht="15" hidden="false" customHeight="false" outlineLevel="0" collapsed="false">
      <c r="A33" s="3" t="s">
        <v>61</v>
      </c>
      <c r="B33" s="3" t="s">
        <v>62</v>
      </c>
      <c r="C33" s="3" t="s">
        <v>476</v>
      </c>
      <c r="D33" s="3" t="s">
        <v>477</v>
      </c>
      <c r="E33" s="3" t="s">
        <v>260</v>
      </c>
      <c r="F33" s="3" t="s">
        <v>478</v>
      </c>
      <c r="G33" s="3" t="s">
        <v>466</v>
      </c>
      <c r="H33" s="3" t="s">
        <v>467</v>
      </c>
      <c r="I33" s="3" t="s">
        <v>354</v>
      </c>
      <c r="J33" s="3" t="s">
        <v>468</v>
      </c>
      <c r="K33" s="3" t="s">
        <v>469</v>
      </c>
      <c r="L33" s="3" t="s">
        <v>470</v>
      </c>
      <c r="M33" s="3" t="s">
        <v>471</v>
      </c>
      <c r="N33" s="3"/>
      <c r="O33" s="3"/>
      <c r="P33" s="3" t="s">
        <v>472</v>
      </c>
      <c r="Q33" s="3" t="s">
        <v>473</v>
      </c>
      <c r="R33" s="3" t="s">
        <v>474</v>
      </c>
      <c r="S33" s="3" t="s">
        <v>475</v>
      </c>
      <c r="T33" s="3"/>
      <c r="U33" s="3" t="s">
        <v>138</v>
      </c>
    </row>
    <row r="34" customFormat="false" ht="15" hidden="false" customHeight="false" outlineLevel="0" collapsed="false">
      <c r="A34" s="3" t="s">
        <v>61</v>
      </c>
      <c r="B34" s="3" t="s">
        <v>62</v>
      </c>
      <c r="C34" s="3" t="s">
        <v>479</v>
      </c>
      <c r="D34" s="3" t="s">
        <v>219</v>
      </c>
      <c r="E34" s="3" t="s">
        <v>260</v>
      </c>
      <c r="F34" s="3" t="s">
        <v>480</v>
      </c>
      <c r="G34" s="3" t="s">
        <v>481</v>
      </c>
      <c r="H34" s="3" t="s">
        <v>482</v>
      </c>
      <c r="I34" s="3" t="s">
        <v>6</v>
      </c>
      <c r="J34" s="3" t="s">
        <v>468</v>
      </c>
      <c r="K34" s="3" t="s">
        <v>469</v>
      </c>
      <c r="L34" s="3" t="s">
        <v>483</v>
      </c>
      <c r="M34" s="3" t="s">
        <v>484</v>
      </c>
      <c r="N34" s="3" t="s">
        <v>109</v>
      </c>
      <c r="O34" s="3" t="s">
        <v>109</v>
      </c>
      <c r="P34" s="3" t="s">
        <v>485</v>
      </c>
      <c r="Q34" s="3" t="s">
        <v>486</v>
      </c>
      <c r="R34" s="3" t="s">
        <v>403</v>
      </c>
      <c r="S34" s="3" t="s">
        <v>369</v>
      </c>
      <c r="T34" s="3" t="s">
        <v>109</v>
      </c>
      <c r="U34" s="3" t="s">
        <v>138</v>
      </c>
    </row>
    <row r="35" customFormat="false" ht="15" hidden="false" customHeight="false" outlineLevel="0" collapsed="false">
      <c r="A35" s="3" t="s">
        <v>61</v>
      </c>
      <c r="B35" s="3" t="s">
        <v>62</v>
      </c>
      <c r="C35" s="3" t="s">
        <v>487</v>
      </c>
      <c r="D35" s="3" t="s">
        <v>488</v>
      </c>
      <c r="E35" s="3" t="s">
        <v>260</v>
      </c>
      <c r="F35" s="3" t="s">
        <v>489</v>
      </c>
      <c r="G35" s="3" t="s">
        <v>481</v>
      </c>
      <c r="H35" s="3" t="s">
        <v>482</v>
      </c>
      <c r="I35" s="3" t="s">
        <v>6</v>
      </c>
      <c r="J35" s="3" t="s">
        <v>468</v>
      </c>
      <c r="K35" s="3" t="s">
        <v>469</v>
      </c>
      <c r="L35" s="3" t="s">
        <v>483</v>
      </c>
      <c r="M35" s="3" t="s">
        <v>484</v>
      </c>
      <c r="N35" s="3" t="s">
        <v>109</v>
      </c>
      <c r="O35" s="3" t="s">
        <v>109</v>
      </c>
      <c r="P35" s="3" t="s">
        <v>485</v>
      </c>
      <c r="Q35" s="3" t="s">
        <v>486</v>
      </c>
      <c r="R35" s="3" t="s">
        <v>403</v>
      </c>
      <c r="S35" s="3" t="s">
        <v>369</v>
      </c>
      <c r="T35" s="3" t="s">
        <v>109</v>
      </c>
      <c r="U35" s="3" t="s">
        <v>138</v>
      </c>
    </row>
    <row r="36" customFormat="false" ht="15" hidden="false" customHeight="false" outlineLevel="0" collapsed="false">
      <c r="A36" s="3" t="s">
        <v>61</v>
      </c>
      <c r="B36" s="3" t="s">
        <v>62</v>
      </c>
      <c r="C36" s="3" t="s">
        <v>490</v>
      </c>
      <c r="D36" s="3" t="s">
        <v>491</v>
      </c>
      <c r="E36" s="3" t="s">
        <v>492</v>
      </c>
      <c r="F36" s="3" t="s">
        <v>493</v>
      </c>
      <c r="G36" s="3" t="s">
        <v>494</v>
      </c>
      <c r="H36" s="3" t="s">
        <v>495</v>
      </c>
      <c r="I36" s="3" t="s">
        <v>6</v>
      </c>
      <c r="J36" s="3" t="s">
        <v>468</v>
      </c>
      <c r="K36" s="3" t="s">
        <v>469</v>
      </c>
      <c r="L36" s="3" t="s">
        <v>496</v>
      </c>
      <c r="M36" s="3" t="s">
        <v>497</v>
      </c>
      <c r="N36" s="3" t="s">
        <v>109</v>
      </c>
      <c r="O36" s="3" t="s">
        <v>109</v>
      </c>
      <c r="P36" s="3" t="s">
        <v>498</v>
      </c>
      <c r="Q36" s="3" t="s">
        <v>297</v>
      </c>
      <c r="R36" s="3" t="s">
        <v>499</v>
      </c>
      <c r="S36" s="3" t="s">
        <v>500</v>
      </c>
      <c r="T36" s="3" t="s">
        <v>109</v>
      </c>
      <c r="U36" s="3" t="s">
        <v>138</v>
      </c>
    </row>
    <row r="37" customFormat="false" ht="15" hidden="false" customHeight="false" outlineLevel="0" collapsed="false">
      <c r="A37" s="3" t="s">
        <v>65</v>
      </c>
      <c r="B37" s="3" t="s">
        <v>66</v>
      </c>
      <c r="C37" s="3" t="s">
        <v>501</v>
      </c>
      <c r="D37" s="3" t="s">
        <v>196</v>
      </c>
      <c r="E37" s="3" t="s">
        <v>502</v>
      </c>
      <c r="F37" s="3" t="s">
        <v>503</v>
      </c>
      <c r="G37" s="3" t="s">
        <v>504</v>
      </c>
      <c r="H37" s="3" t="s">
        <v>505</v>
      </c>
      <c r="I37" s="3" t="s">
        <v>99</v>
      </c>
      <c r="J37" s="3" t="s">
        <v>506</v>
      </c>
      <c r="K37" s="3" t="s">
        <v>341</v>
      </c>
      <c r="L37" s="3" t="s">
        <v>507</v>
      </c>
      <c r="M37" s="3" t="s">
        <v>508</v>
      </c>
      <c r="N37" s="3" t="s">
        <v>509</v>
      </c>
      <c r="O37" s="3"/>
      <c r="P37" s="3" t="s">
        <v>109</v>
      </c>
      <c r="Q37" s="3" t="s">
        <v>109</v>
      </c>
      <c r="R37" s="3" t="s">
        <v>510</v>
      </c>
      <c r="S37" s="3" t="s">
        <v>109</v>
      </c>
      <c r="T37" s="3" t="s">
        <v>511</v>
      </c>
      <c r="U37" s="3" t="s">
        <v>512</v>
      </c>
    </row>
    <row r="38" customFormat="false" ht="15" hidden="false" customHeight="false" outlineLevel="0" collapsed="false">
      <c r="A38" s="3" t="s">
        <v>65</v>
      </c>
      <c r="B38" s="3" t="s">
        <v>66</v>
      </c>
      <c r="C38" s="3" t="s">
        <v>513</v>
      </c>
      <c r="D38" s="3" t="s">
        <v>196</v>
      </c>
      <c r="E38" s="3" t="s">
        <v>502</v>
      </c>
      <c r="F38" s="3" t="s">
        <v>503</v>
      </c>
      <c r="G38" s="3" t="s">
        <v>514</v>
      </c>
      <c r="H38" s="3" t="s">
        <v>515</v>
      </c>
      <c r="I38" s="3" t="s">
        <v>99</v>
      </c>
      <c r="J38" s="3" t="s">
        <v>516</v>
      </c>
      <c r="K38" s="3" t="s">
        <v>305</v>
      </c>
      <c r="L38" s="3" t="s">
        <v>517</v>
      </c>
      <c r="M38" s="3" t="s">
        <v>109</v>
      </c>
      <c r="N38" s="3" t="s">
        <v>310</v>
      </c>
      <c r="O38" s="3"/>
      <c r="P38" s="3" t="s">
        <v>421</v>
      </c>
      <c r="Q38" s="3" t="s">
        <v>518</v>
      </c>
      <c r="R38" s="3" t="s">
        <v>247</v>
      </c>
      <c r="S38" s="3"/>
      <c r="T38" s="3" t="s">
        <v>109</v>
      </c>
      <c r="U38" s="3" t="s">
        <v>333</v>
      </c>
    </row>
    <row r="39" customFormat="false" ht="15" hidden="false" customHeight="false" outlineLevel="0" collapsed="false">
      <c r="A39" s="3" t="s">
        <v>65</v>
      </c>
      <c r="B39" s="3" t="s">
        <v>66</v>
      </c>
      <c r="C39" s="3" t="s">
        <v>519</v>
      </c>
      <c r="D39" s="3" t="s">
        <v>196</v>
      </c>
      <c r="E39" s="3" t="s">
        <v>502</v>
      </c>
      <c r="F39" s="3" t="s">
        <v>503</v>
      </c>
      <c r="G39" s="3" t="s">
        <v>520</v>
      </c>
      <c r="H39" s="3" t="s">
        <v>521</v>
      </c>
      <c r="I39" s="3" t="s">
        <v>99</v>
      </c>
      <c r="J39" s="3" t="s">
        <v>506</v>
      </c>
      <c r="K39" s="3" t="s">
        <v>341</v>
      </c>
      <c r="L39" s="3" t="s">
        <v>507</v>
      </c>
      <c r="M39" s="3" t="s">
        <v>508</v>
      </c>
      <c r="N39" s="3" t="s">
        <v>509</v>
      </c>
      <c r="O39" s="3"/>
      <c r="P39" s="3" t="s">
        <v>109</v>
      </c>
      <c r="Q39" s="3" t="s">
        <v>506</v>
      </c>
      <c r="R39" s="3" t="s">
        <v>522</v>
      </c>
      <c r="S39" s="3" t="s">
        <v>523</v>
      </c>
      <c r="T39" s="3" t="s">
        <v>524</v>
      </c>
      <c r="U39" s="3" t="s">
        <v>201</v>
      </c>
    </row>
    <row r="40" customFormat="false" ht="15" hidden="false" customHeight="false" outlineLevel="0" collapsed="false">
      <c r="A40" s="3" t="s">
        <v>65</v>
      </c>
      <c r="B40" s="3" t="s">
        <v>66</v>
      </c>
      <c r="C40" s="3" t="s">
        <v>525</v>
      </c>
      <c r="D40" s="3" t="s">
        <v>526</v>
      </c>
      <c r="E40" s="3" t="s">
        <v>527</v>
      </c>
      <c r="F40" s="3" t="s">
        <v>528</v>
      </c>
      <c r="G40" s="3" t="s">
        <v>529</v>
      </c>
      <c r="H40" s="3" t="s">
        <v>530</v>
      </c>
      <c r="I40" s="3" t="s">
        <v>99</v>
      </c>
      <c r="J40" s="3" t="s">
        <v>531</v>
      </c>
      <c r="K40" s="3" t="s">
        <v>277</v>
      </c>
      <c r="L40" s="3" t="s">
        <v>155</v>
      </c>
      <c r="M40" s="3" t="s">
        <v>109</v>
      </c>
      <c r="N40" s="3" t="s">
        <v>388</v>
      </c>
      <c r="O40" s="3"/>
      <c r="P40" s="3" t="s">
        <v>109</v>
      </c>
      <c r="Q40" s="3" t="s">
        <v>283</v>
      </c>
      <c r="R40" s="3" t="s">
        <v>347</v>
      </c>
      <c r="S40" s="3" t="s">
        <v>125</v>
      </c>
      <c r="T40" s="3" t="s">
        <v>532</v>
      </c>
      <c r="U40" s="3" t="s">
        <v>533</v>
      </c>
    </row>
    <row r="41" customFormat="false" ht="15" hidden="false" customHeight="false" outlineLevel="0" collapsed="false">
      <c r="A41" s="3" t="s">
        <v>65</v>
      </c>
      <c r="B41" s="3" t="s">
        <v>66</v>
      </c>
      <c r="C41" s="3" t="s">
        <v>534</v>
      </c>
      <c r="D41" s="3" t="s">
        <v>535</v>
      </c>
      <c r="E41" s="3" t="s">
        <v>527</v>
      </c>
      <c r="F41" s="3" t="s">
        <v>536</v>
      </c>
      <c r="G41" s="3" t="s">
        <v>537</v>
      </c>
      <c r="H41" s="3" t="s">
        <v>538</v>
      </c>
      <c r="I41" s="3" t="s">
        <v>99</v>
      </c>
      <c r="J41" s="3" t="s">
        <v>531</v>
      </c>
      <c r="K41" s="3" t="s">
        <v>539</v>
      </c>
      <c r="L41" s="3" t="s">
        <v>208</v>
      </c>
      <c r="M41" s="3" t="s">
        <v>109</v>
      </c>
      <c r="N41" s="3" t="s">
        <v>388</v>
      </c>
      <c r="O41" s="3" t="s">
        <v>109</v>
      </c>
      <c r="P41" s="3" t="s">
        <v>109</v>
      </c>
      <c r="Q41" s="3" t="s">
        <v>416</v>
      </c>
      <c r="R41" s="3" t="s">
        <v>540</v>
      </c>
      <c r="S41" s="3" t="s">
        <v>109</v>
      </c>
      <c r="T41" s="3" t="s">
        <v>541</v>
      </c>
      <c r="U41" s="3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543</v>
      </c>
      <c r="B1" s="5" t="s">
        <v>544</v>
      </c>
    </row>
    <row r="2" customFormat="false" ht="15" hidden="false" customHeight="false" outlineLevel="0" collapsed="false">
      <c r="A2" s="2" t="s">
        <v>545</v>
      </c>
      <c r="B2" s="7" t="s">
        <v>546</v>
      </c>
    </row>
    <row r="3" customFormat="false" ht="26.85" hidden="false" customHeight="false" outlineLevel="0" collapsed="false">
      <c r="A3" s="2" t="s">
        <v>547</v>
      </c>
      <c r="B3" s="7" t="s">
        <v>548</v>
      </c>
    </row>
    <row r="4" customFormat="false" ht="15" hidden="false" customHeight="false" outlineLevel="0" collapsed="false">
      <c r="A4" s="2" t="s">
        <v>75</v>
      </c>
      <c r="B4" s="7" t="s">
        <v>549</v>
      </c>
    </row>
    <row r="5" customFormat="false" ht="15" hidden="false" customHeight="false" outlineLevel="0" collapsed="false">
      <c r="A5" s="2" t="s">
        <v>76</v>
      </c>
      <c r="B5" s="7" t="s">
        <v>550</v>
      </c>
    </row>
    <row r="6" customFormat="false" ht="15" hidden="false" customHeight="false" outlineLevel="0" collapsed="false">
      <c r="A6" s="2" t="s">
        <v>77</v>
      </c>
      <c r="B6" s="7" t="s">
        <v>551</v>
      </c>
    </row>
    <row r="7" customFormat="false" ht="15" hidden="false" customHeight="false" outlineLevel="0" collapsed="false">
      <c r="A7" s="2" t="s">
        <v>552</v>
      </c>
      <c r="B7" s="7" t="s">
        <v>553</v>
      </c>
    </row>
    <row r="8" customFormat="false" ht="26.85" hidden="false" customHeight="false" outlineLevel="0" collapsed="false">
      <c r="A8" s="2" t="s">
        <v>78</v>
      </c>
      <c r="B8" s="7" t="s">
        <v>554</v>
      </c>
    </row>
    <row r="9" customFormat="false" ht="26.85" hidden="false" customHeight="false" outlineLevel="0" collapsed="false">
      <c r="A9" s="2" t="s">
        <v>555</v>
      </c>
      <c r="B9" s="7" t="s">
        <v>556</v>
      </c>
    </row>
    <row r="10" customFormat="false" ht="26.85" hidden="false" customHeight="false" outlineLevel="0" collapsed="false">
      <c r="A10" s="2" t="s">
        <v>557</v>
      </c>
      <c r="B10" s="7" t="s">
        <v>558</v>
      </c>
    </row>
    <row r="11" customFormat="false" ht="15" hidden="false" customHeight="false" outlineLevel="0" collapsed="false">
      <c r="A11" s="2" t="s">
        <v>559</v>
      </c>
      <c r="B11" s="7" t="s">
        <v>560</v>
      </c>
    </row>
    <row r="12" customFormat="false" ht="26.85" hidden="false" customHeight="false" outlineLevel="0" collapsed="false">
      <c r="A12" s="2" t="s">
        <v>86</v>
      </c>
      <c r="B12" s="7" t="s">
        <v>561</v>
      </c>
    </row>
    <row r="13" customFormat="false" ht="26.85" hidden="false" customHeight="false" outlineLevel="0" collapsed="false">
      <c r="A13" s="2" t="s">
        <v>92</v>
      </c>
      <c r="B13" s="7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2026-07-06T02:19:23Z</dcterms:created>
  <dc:creator>openpyxl</dc:creator>
  <dc:description/>
  <dc:language>en-US</dc:language>
  <cp:lastModifiedBy/>
  <dcterms:modified xsi:type="dcterms:W3CDTF">2026-07-06T02:19:23Z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